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ece56f8cc164e63/바탕 화면/"/>
    </mc:Choice>
  </mc:AlternateContent>
  <xr:revisionPtr revIDLastSave="3" documentId="8_{BA304881-F8C9-4B9C-BB3B-A9CB6F5F39AC}" xr6:coauthVersionLast="47" xr6:coauthVersionMax="47" xr10:uidLastSave="{C8E6736F-54C0-49A2-87F2-0318A504CCFD}"/>
  <bookViews>
    <workbookView xWindow="-120" yWindow="-120" windowWidth="29040" windowHeight="15720" tabRatio="500" xr2:uid="{00000000-000D-0000-FFFF-FFFF00000000}"/>
  </bookViews>
  <sheets>
    <sheet name="매출계획" sheetId="1" r:id="rId1"/>
    <sheet name="요약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2" l="1"/>
  <c r="D24" i="2"/>
  <c r="D25" i="2" s="1"/>
  <c r="B24" i="2"/>
  <c r="D23" i="2"/>
  <c r="D22" i="2"/>
  <c r="N34" i="1"/>
  <c r="M34" i="1"/>
  <c r="L34" i="1"/>
  <c r="K34" i="1"/>
  <c r="J34" i="1"/>
  <c r="I34" i="1"/>
  <c r="G34" i="1"/>
  <c r="E34" i="1"/>
  <c r="N33" i="1"/>
  <c r="L33" i="1"/>
  <c r="J33" i="1"/>
  <c r="H33" i="1"/>
  <c r="H34" i="1" s="1"/>
  <c r="F33" i="1"/>
  <c r="F34" i="1" s="1"/>
  <c r="M32" i="1"/>
  <c r="L32" i="1"/>
  <c r="K32" i="1"/>
  <c r="J32" i="1"/>
  <c r="I32" i="1"/>
  <c r="G32" i="1"/>
  <c r="E32" i="1"/>
  <c r="N31" i="1"/>
  <c r="L31" i="1"/>
  <c r="J31" i="1"/>
  <c r="H31" i="1"/>
  <c r="F31" i="1"/>
  <c r="N30" i="1"/>
  <c r="L30" i="1"/>
  <c r="J30" i="1"/>
  <c r="H30" i="1"/>
  <c r="H32" i="1" s="1"/>
  <c r="F30" i="1"/>
  <c r="N29" i="1"/>
  <c r="N32" i="1" s="1"/>
  <c r="L29" i="1"/>
  <c r="J29" i="1"/>
  <c r="H29" i="1"/>
  <c r="F29" i="1"/>
  <c r="F32" i="1" s="1"/>
  <c r="M28" i="1"/>
  <c r="K28" i="1"/>
  <c r="I28" i="1"/>
  <c r="G28" i="1"/>
  <c r="E28" i="1"/>
  <c r="N27" i="1"/>
  <c r="F24" i="2" s="1"/>
  <c r="L27" i="1"/>
  <c r="J27" i="1"/>
  <c r="H27" i="1"/>
  <c r="F27" i="1"/>
  <c r="N26" i="1"/>
  <c r="L26" i="1"/>
  <c r="J26" i="1"/>
  <c r="H26" i="1"/>
  <c r="F26" i="1"/>
  <c r="N25" i="1"/>
  <c r="L25" i="1"/>
  <c r="J25" i="1"/>
  <c r="H25" i="1"/>
  <c r="F25" i="1"/>
  <c r="F28" i="1" s="1"/>
  <c r="N24" i="1"/>
  <c r="N28" i="1" s="1"/>
  <c r="L24" i="1"/>
  <c r="L28" i="1" s="1"/>
  <c r="J24" i="1"/>
  <c r="J28" i="1" s="1"/>
  <c r="H24" i="1"/>
  <c r="H28" i="1" s="1"/>
  <c r="F24" i="1"/>
  <c r="M23" i="1"/>
  <c r="K23" i="1"/>
  <c r="I23" i="1"/>
  <c r="G23" i="1"/>
  <c r="E23" i="1"/>
  <c r="N22" i="1"/>
  <c r="L22" i="1"/>
  <c r="J22" i="1"/>
  <c r="H22" i="1"/>
  <c r="H23" i="1" s="1"/>
  <c r="F22" i="1"/>
  <c r="N21" i="1"/>
  <c r="F22" i="2" s="1"/>
  <c r="L21" i="1"/>
  <c r="L23" i="1" s="1"/>
  <c r="J21" i="1"/>
  <c r="J23" i="1" s="1"/>
  <c r="H21" i="1"/>
  <c r="F21" i="1"/>
  <c r="F23" i="1" s="1"/>
  <c r="M20" i="1"/>
  <c r="K20" i="1"/>
  <c r="I20" i="1"/>
  <c r="G20" i="1"/>
  <c r="F20" i="1"/>
  <c r="E20" i="1"/>
  <c r="N19" i="1"/>
  <c r="L19" i="1"/>
  <c r="E24" i="2" s="1"/>
  <c r="J19" i="1"/>
  <c r="H19" i="1"/>
  <c r="C24" i="2" s="1"/>
  <c r="F19" i="1"/>
  <c r="N18" i="1"/>
  <c r="L18" i="1"/>
  <c r="J18" i="1"/>
  <c r="H18" i="1"/>
  <c r="F18" i="1"/>
  <c r="N17" i="1"/>
  <c r="L17" i="1"/>
  <c r="J17" i="1"/>
  <c r="H17" i="1"/>
  <c r="C22" i="2" s="1"/>
  <c r="F17" i="1"/>
  <c r="B22" i="2" s="1"/>
  <c r="N16" i="1"/>
  <c r="L16" i="1"/>
  <c r="J16" i="1"/>
  <c r="H16" i="1"/>
  <c r="F16" i="1"/>
  <c r="N15" i="1"/>
  <c r="L15" i="1"/>
  <c r="J15" i="1"/>
  <c r="H15" i="1"/>
  <c r="F15" i="1"/>
  <c r="N14" i="1"/>
  <c r="L14" i="1"/>
  <c r="J14" i="1"/>
  <c r="H14" i="1"/>
  <c r="H20" i="1" s="1"/>
  <c r="F14" i="1"/>
  <c r="N13" i="1"/>
  <c r="L13" i="1"/>
  <c r="J13" i="1"/>
  <c r="H13" i="1"/>
  <c r="F13" i="1"/>
  <c r="N12" i="1"/>
  <c r="N20" i="1" s="1"/>
  <c r="L12" i="1"/>
  <c r="J12" i="1"/>
  <c r="H12" i="1"/>
  <c r="F12" i="1"/>
  <c r="N11" i="1"/>
  <c r="F23" i="2" s="1"/>
  <c r="L11" i="1"/>
  <c r="E23" i="2" s="1"/>
  <c r="J11" i="1"/>
  <c r="J20" i="1" s="1"/>
  <c r="H11" i="1"/>
  <c r="C23" i="2" s="1"/>
  <c r="F11" i="1"/>
  <c r="B23" i="2" s="1"/>
  <c r="G6" i="1"/>
  <c r="C25" i="2" l="1"/>
  <c r="F25" i="2"/>
  <c r="G23" i="2"/>
  <c r="H35" i="1"/>
  <c r="G24" i="2"/>
  <c r="B25" i="2"/>
  <c r="F35" i="1"/>
  <c r="J35" i="1"/>
  <c r="N23" i="1"/>
  <c r="N35" i="1" s="1"/>
  <c r="E22" i="2"/>
  <c r="E25" i="2" s="1"/>
  <c r="L20" i="1"/>
  <c r="L35" i="1" s="1"/>
  <c r="F5" i="2" l="1"/>
  <c r="N36" i="1"/>
  <c r="B38" i="2"/>
  <c r="J36" i="1"/>
  <c r="B37" i="2"/>
  <c r="B36" i="2"/>
  <c r="D5" i="2"/>
  <c r="B14" i="2"/>
  <c r="G22" i="2"/>
  <c r="G25" i="2" s="1"/>
  <c r="E5" i="2"/>
  <c r="L36" i="1"/>
  <c r="F36" i="1"/>
  <c r="B5" i="2"/>
  <c r="G5" i="2" s="1"/>
  <c r="H36" i="1"/>
  <c r="C5" i="2"/>
  <c r="F39" i="1" l="1"/>
  <c r="B7" i="2" s="1"/>
  <c r="F38" i="1"/>
  <c r="L39" i="1"/>
  <c r="E7" i="2" s="1"/>
  <c r="L38" i="1"/>
  <c r="J39" i="1"/>
  <c r="J38" i="1"/>
  <c r="N39" i="1"/>
  <c r="F7" i="2" s="1"/>
  <c r="N38" i="1"/>
  <c r="H39" i="1"/>
  <c r="C7" i="2" s="1"/>
  <c r="H38" i="1"/>
  <c r="B15" i="2" l="1"/>
  <c r="D7" i="2"/>
  <c r="C6" i="2"/>
  <c r="H40" i="1"/>
  <c r="H41" i="1" s="1"/>
  <c r="F6" i="2"/>
  <c r="N40" i="1"/>
  <c r="N41" i="1" s="1"/>
  <c r="E6" i="2"/>
  <c r="L40" i="1"/>
  <c r="L41" i="1" s="1"/>
  <c r="B6" i="2"/>
  <c r="G6" i="2" s="1"/>
  <c r="F40" i="1"/>
  <c r="F41" i="1" s="1"/>
  <c r="D6" i="2"/>
  <c r="J40" i="1"/>
  <c r="J41" i="1" s="1"/>
  <c r="B16" i="2"/>
  <c r="G7" i="2"/>
  <c r="D8" i="2" l="1"/>
  <c r="F16" i="2"/>
  <c r="H16" i="2" s="1"/>
  <c r="F18" i="2"/>
  <c r="H18" i="2" s="1"/>
  <c r="F8" i="2"/>
  <c r="E8" i="2"/>
  <c r="E9" i="2" s="1"/>
  <c r="F17" i="2"/>
  <c r="H17" i="2" s="1"/>
  <c r="B8" i="2"/>
  <c r="F14" i="2"/>
  <c r="H14" i="2" s="1"/>
  <c r="C8" i="2"/>
  <c r="C9" i="2" s="1"/>
  <c r="F15" i="2"/>
  <c r="H15" i="2" s="1"/>
  <c r="B17" i="2"/>
  <c r="C14" i="2" s="1"/>
  <c r="G8" i="2" l="1"/>
  <c r="C15" i="2"/>
  <c r="C17" i="2" s="1"/>
  <c r="C16" i="2"/>
  <c r="F9" i="2"/>
  <c r="D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6" authorId="0" shapeId="0" xr:uid="{00000000-0006-0000-0000-000006000000}">
      <text>
        <r>
          <rPr>
            <sz val="10"/>
            <rFont val="Noto Sans CJK SC"/>
            <family val="2"/>
          </rPr>
          <t xml:space="preserve">반복매출 중 </t>
        </r>
        <r>
          <rPr>
            <sz val="10"/>
            <rFont val="Arial"/>
            <family val="2"/>
          </rPr>
          <t>AI</t>
        </r>
        <r>
          <rPr>
            <sz val="10"/>
            <rFont val="Noto Sans CJK SC"/>
            <family val="2"/>
          </rPr>
          <t>구독</t>
        </r>
        <r>
          <rPr>
            <sz val="10"/>
            <rFont val="Arial"/>
            <family val="2"/>
          </rPr>
          <t xml:space="preserve">(SaaS) </t>
        </r>
        <r>
          <rPr>
            <sz val="10"/>
            <rFont val="Noto Sans CJK SC"/>
            <family val="2"/>
          </rPr>
          <t>비중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나머지</t>
        </r>
        <r>
          <rPr>
            <sz val="10"/>
            <rFont val="Arial"/>
            <family val="2"/>
          </rPr>
          <t>(G6 = 1 - E6)</t>
        </r>
        <r>
          <rPr>
            <sz val="10"/>
            <rFont val="Noto Sans CJK SC"/>
            <family val="2"/>
          </rPr>
          <t>는 유지보수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덱 </t>
        </r>
        <r>
          <rPr>
            <sz val="10"/>
            <rFont val="Arial"/>
            <family val="2"/>
          </rPr>
          <t xml:space="preserve">2028E </t>
        </r>
        <r>
          <rPr>
            <sz val="10"/>
            <rFont val="Noto Sans CJK SC"/>
            <family val="2"/>
          </rPr>
          <t>구성</t>
        </r>
        <r>
          <rPr>
            <sz val="10"/>
            <rFont val="Arial"/>
            <family val="2"/>
          </rPr>
          <t>(SaaS 12 : Engineering 13)</t>
        </r>
        <r>
          <rPr>
            <sz val="10"/>
            <rFont val="Noto Sans CJK SC"/>
            <family val="2"/>
          </rPr>
          <t xml:space="preserve">에서 역산한 </t>
        </r>
        <r>
          <rPr>
            <sz val="10"/>
            <rFont val="Arial"/>
            <family val="2"/>
          </rPr>
          <t>48%.</t>
        </r>
      </text>
    </comment>
    <comment ref="B36" authorId="0" shapeId="0" xr:uid="{00000000-0006-0000-0000-000001000000}">
      <text>
        <r>
          <rPr>
            <sz val="10"/>
            <rFont val="Noto Sans CJK SC"/>
            <family val="2"/>
          </rPr>
          <t>반복매출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유지보수</t>
        </r>
        <r>
          <rPr>
            <sz val="10"/>
            <rFont val="Arial"/>
            <family val="2"/>
          </rPr>
          <t>+AI</t>
        </r>
        <r>
          <rPr>
            <sz val="10"/>
            <rFont val="Noto Sans CJK SC"/>
            <family val="2"/>
          </rPr>
          <t>구독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산정의 당년 기준액</t>
        </r>
        <r>
          <rPr>
            <sz val="10"/>
            <rFont val="Arial"/>
            <family val="2"/>
          </rPr>
          <t xml:space="preserve">.
= </t>
        </r>
        <r>
          <rPr>
            <sz val="10"/>
            <rFont val="Noto Sans CJK SC"/>
            <family val="2"/>
          </rPr>
          <t xml:space="preserve">당년 설치매출 계 − 지하관로 소계
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덱 산정 방식과 동일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맨홀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물순환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병기고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전남광주 기준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지하관로 제외</t>
        </r>
        <r>
          <rPr>
            <sz val="10"/>
            <rFont val="Arial"/>
            <family val="2"/>
          </rPr>
          <t>)</t>
        </r>
      </text>
    </comment>
    <comment ref="B37" authorId="0" shapeId="0" xr:uid="{00000000-0006-0000-0000-000002000000}">
      <text>
        <r>
          <rPr>
            <sz val="10"/>
            <rFont val="Noto Sans CJK SC"/>
            <family val="2"/>
          </rPr>
          <t xml:space="preserve">당년 매출 대비 반복매출 비율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덱 </t>
        </r>
        <r>
          <rPr>
            <sz val="10"/>
            <rFont val="Arial"/>
            <family val="2"/>
          </rPr>
          <t>IR p.20</t>
        </r>
        <r>
          <rPr>
            <sz val="10"/>
            <rFont val="Noto Sans CJK SC"/>
            <family val="2"/>
          </rPr>
          <t>과 동일 기준</t>
        </r>
        <r>
          <rPr>
            <sz val="10"/>
            <rFont val="Arial"/>
            <family val="2"/>
          </rPr>
          <t xml:space="preserve">).
2026:0%  2027:10%  2028:25%  2029:35%  2030:45%
</t>
        </r>
        <r>
          <rPr>
            <sz val="10"/>
            <rFont val="Noto Sans CJK SC"/>
            <family val="2"/>
          </rPr>
          <t>노란 칸을 수정하면 전체가 재계산됩니다</t>
        </r>
        <r>
          <rPr>
            <sz val="10"/>
            <rFont val="Arial"/>
            <family val="2"/>
          </rPr>
          <t>.</t>
        </r>
      </text>
    </comment>
    <comment ref="B38" authorId="0" shapeId="0" xr:uid="{00000000-0006-0000-0000-000003000000}">
      <text>
        <r>
          <rPr>
            <sz val="10"/>
            <rFont val="Noto Sans CJK SC"/>
            <family val="2"/>
          </rPr>
          <t>유지보수</t>
        </r>
        <r>
          <rPr>
            <sz val="10"/>
            <rFont val="Arial"/>
            <family val="2"/>
          </rPr>
          <t xml:space="preserve">(E&amp;M) = </t>
        </r>
        <r>
          <rPr>
            <sz val="10"/>
            <rFont val="Noto Sans CJK SC"/>
            <family val="2"/>
          </rPr>
          <t>산정기준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당년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Noto Sans CJK SC"/>
            <family val="2"/>
          </rPr>
          <t>반복매출율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당년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Noto Sans CJK SC"/>
            <family val="2"/>
          </rPr>
          <t>유지보수 비중</t>
        </r>
        <r>
          <rPr>
            <sz val="10"/>
            <rFont val="Arial"/>
            <family val="2"/>
          </rPr>
          <t xml:space="preserve">(G6,52%)
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) 2028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= 537 × 25% × 52% = 69.8</t>
        </r>
      </text>
    </comment>
    <comment ref="B39" authorId="0" shapeId="0" xr:uid="{00000000-0006-0000-0000-000004000000}">
      <text>
        <r>
          <rPr>
            <sz val="10"/>
            <rFont val="Arial"/>
            <family val="2"/>
          </rPr>
          <t xml:space="preserve">AI </t>
        </r>
        <r>
          <rPr>
            <sz val="10"/>
            <rFont val="Noto Sans CJK SC"/>
            <family val="2"/>
          </rPr>
          <t>구독</t>
        </r>
        <r>
          <rPr>
            <sz val="10"/>
            <rFont val="Arial"/>
            <family val="2"/>
          </rPr>
          <t xml:space="preserve">(SaaS) = </t>
        </r>
        <r>
          <rPr>
            <sz val="10"/>
            <rFont val="Noto Sans CJK SC"/>
            <family val="2"/>
          </rPr>
          <t>산정기준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당년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Noto Sans CJK SC"/>
            <family val="2"/>
          </rPr>
          <t>반복매출율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당년</t>
        </r>
        <r>
          <rPr>
            <sz val="10"/>
            <rFont val="Arial"/>
            <family val="2"/>
          </rPr>
          <t>) × AI</t>
        </r>
        <r>
          <rPr>
            <sz val="10"/>
            <rFont val="Noto Sans CJK SC"/>
            <family val="2"/>
          </rPr>
          <t>구독 비중</t>
        </r>
        <r>
          <rPr>
            <sz val="10"/>
            <rFont val="Arial"/>
            <family val="2"/>
          </rPr>
          <t xml:space="preserve">(E6,48%)
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) 2028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= 537 × 25% × 48% = 64.4</t>
        </r>
      </text>
    </comment>
    <comment ref="B40" authorId="0" shapeId="0" xr:uid="{00000000-0006-0000-0000-000005000000}">
      <text>
        <r>
          <rPr>
            <sz val="10"/>
            <rFont val="Noto Sans CJK SC"/>
            <family val="2"/>
          </rPr>
          <t xml:space="preserve">반복매출 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유지보수 </t>
        </r>
        <r>
          <rPr>
            <sz val="10"/>
            <rFont val="Arial"/>
            <family val="2"/>
          </rPr>
          <t>+ AI</t>
        </r>
        <r>
          <rPr>
            <sz val="10"/>
            <rFont val="Noto Sans CJK SC"/>
            <family val="2"/>
          </rPr>
          <t xml:space="preserve">구독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산정기준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당년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Noto Sans CJK SC"/>
            <family val="2"/>
          </rPr>
          <t>반복매출율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당년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) 2028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= 537 × 25% = 134.25  (</t>
        </r>
        <r>
          <rPr>
            <sz val="10"/>
            <rFont val="Noto Sans CJK SC"/>
            <family val="2"/>
          </rPr>
          <t xml:space="preserve">덱 </t>
        </r>
        <r>
          <rPr>
            <sz val="10"/>
            <rFont val="Arial"/>
            <family val="2"/>
          </rPr>
          <t>p.20</t>
        </r>
        <r>
          <rPr>
            <sz val="10"/>
            <rFont val="Noto Sans CJK SC"/>
            <family val="2"/>
          </rPr>
          <t xml:space="preserve">의 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와 동일 기준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<sst xmlns="http://schemas.openxmlformats.org/spreadsheetml/2006/main" count="146" uniqueCount="103">
  <si>
    <r>
      <rPr>
        <b/>
        <sz val="16"/>
        <color rgb="FF1F3864"/>
        <rFont val="Noto Sans CJK SC"/>
        <family val="2"/>
      </rPr>
      <t xml:space="preserve">㈜큐테크코리아  </t>
    </r>
    <r>
      <rPr>
        <b/>
        <sz val="16"/>
        <color rgb="FF1F3864"/>
        <rFont val="Malgun Gothic"/>
        <family val="3"/>
        <charset val="129"/>
      </rPr>
      <t xml:space="preserve">·  </t>
    </r>
    <r>
      <rPr>
        <b/>
        <sz val="16"/>
        <color rgb="FF1F3864"/>
        <rFont val="Noto Sans CJK SC"/>
        <family val="2"/>
      </rPr>
      <t xml:space="preserve">매출 계획 </t>
    </r>
    <r>
      <rPr>
        <b/>
        <sz val="16"/>
        <color rgb="FF1F3864"/>
        <rFont val="Malgun Gothic"/>
        <family val="3"/>
        <charset val="129"/>
      </rPr>
      <t>(2026–2030)</t>
    </r>
  </si>
  <si>
    <r>
      <rPr>
        <sz val="9"/>
        <color rgb="FF5A6472"/>
        <rFont val="Noto Sans CJK SC"/>
        <family val="2"/>
      </rPr>
      <t>설치</t>
    </r>
    <r>
      <rPr>
        <sz val="9"/>
        <color rgb="FF5A6472"/>
        <rFont val="Malgun Gothic"/>
        <family val="3"/>
        <charset val="129"/>
      </rPr>
      <t>(</t>
    </r>
    <r>
      <rPr>
        <sz val="9"/>
        <color rgb="FF5A6472"/>
        <rFont val="Noto Sans CJK SC"/>
        <family val="2"/>
      </rPr>
      <t>하드웨어</t>
    </r>
    <r>
      <rPr>
        <sz val="9"/>
        <color rgb="FF5A6472"/>
        <rFont val="Malgun Gothic"/>
        <family val="3"/>
        <charset val="129"/>
      </rPr>
      <t xml:space="preserve">) </t>
    </r>
    <r>
      <rPr>
        <sz val="9"/>
        <color rgb="FF5A6472"/>
        <rFont val="Noto Sans CJK SC"/>
        <family val="2"/>
      </rPr>
      <t xml:space="preserve">매출 </t>
    </r>
    <r>
      <rPr>
        <sz val="9"/>
        <color rgb="FF5A6472"/>
        <rFont val="Malgun Gothic"/>
        <family val="3"/>
        <charset val="129"/>
      </rPr>
      <t xml:space="preserve">+ </t>
    </r>
    <r>
      <rPr>
        <sz val="9"/>
        <color rgb="FF5A6472"/>
        <rFont val="Noto Sans CJK SC"/>
        <family val="2"/>
      </rPr>
      <t>데이터 기반 반복매출</t>
    </r>
    <r>
      <rPr>
        <sz val="9"/>
        <color rgb="FF5A6472"/>
        <rFont val="Malgun Gothic"/>
        <family val="3"/>
        <charset val="129"/>
      </rPr>
      <t>(AI</t>
    </r>
    <r>
      <rPr>
        <sz val="9"/>
        <color rgb="FF5A6472"/>
        <rFont val="Noto Sans CJK SC"/>
        <family val="2"/>
      </rPr>
      <t>구독</t>
    </r>
    <r>
      <rPr>
        <sz val="9"/>
        <color rgb="FF5A6472"/>
        <rFont val="Malgun Gothic"/>
        <family val="3"/>
        <charset val="129"/>
      </rPr>
      <t>·</t>
    </r>
    <r>
      <rPr>
        <sz val="9"/>
        <color rgb="FF5A6472"/>
        <rFont val="Noto Sans CJK SC"/>
        <family val="2"/>
      </rPr>
      <t>유지보수</t>
    </r>
    <r>
      <rPr>
        <sz val="9"/>
        <color rgb="FF5A6472"/>
        <rFont val="Malgun Gothic"/>
        <family val="3"/>
        <charset val="129"/>
      </rPr>
      <t xml:space="preserve">) </t>
    </r>
    <r>
      <rPr>
        <sz val="9"/>
        <color rgb="FF5A6472"/>
        <rFont val="Noto Sans CJK SC"/>
        <family val="2"/>
      </rPr>
      <t xml:space="preserve">결합 모델   </t>
    </r>
    <r>
      <rPr>
        <sz val="9"/>
        <color rgb="FF5A6472"/>
        <rFont val="Malgun Gothic"/>
        <family val="3"/>
        <charset val="129"/>
      </rPr>
      <t xml:space="preserve">|   </t>
    </r>
    <r>
      <rPr>
        <sz val="9"/>
        <color rgb="FF5A6472"/>
        <rFont val="Noto Sans CJK SC"/>
        <family val="2"/>
      </rPr>
      <t>단위</t>
    </r>
    <r>
      <rPr>
        <sz val="9"/>
        <color rgb="FF5A6472"/>
        <rFont val="Malgun Gothic"/>
        <family val="3"/>
        <charset val="129"/>
      </rPr>
      <t xml:space="preserve">: </t>
    </r>
    <r>
      <rPr>
        <sz val="9"/>
        <color rgb="FF5A6472"/>
        <rFont val="Noto Sans CJK SC"/>
        <family val="2"/>
      </rPr>
      <t>억원</t>
    </r>
    <r>
      <rPr>
        <sz val="9"/>
        <color rgb="FF5A6472"/>
        <rFont val="Malgun Gothic"/>
        <family val="3"/>
        <charset val="129"/>
      </rPr>
      <t xml:space="preserve">, </t>
    </r>
    <r>
      <rPr>
        <sz val="9"/>
        <color rgb="FF5A6472"/>
        <rFont val="Noto Sans CJK SC"/>
        <family val="2"/>
      </rPr>
      <t>단가</t>
    </r>
    <r>
      <rPr>
        <sz val="9"/>
        <color rgb="FF5A6472"/>
        <rFont val="Malgun Gothic"/>
        <family val="3"/>
        <charset val="129"/>
      </rPr>
      <t xml:space="preserve">: </t>
    </r>
    <r>
      <rPr>
        <sz val="9"/>
        <color rgb="FF5A6472"/>
        <rFont val="Noto Sans CJK SC"/>
        <family val="2"/>
      </rPr>
      <t>억원</t>
    </r>
    <r>
      <rPr>
        <sz val="9"/>
        <color rgb="FF5A6472"/>
        <rFont val="Malgun Gothic"/>
        <family val="3"/>
        <charset val="129"/>
      </rPr>
      <t>/</t>
    </r>
    <r>
      <rPr>
        <sz val="9"/>
        <color rgb="FF5A6472"/>
        <rFont val="Noto Sans CJK SC"/>
        <family val="2"/>
      </rPr>
      <t>노드</t>
    </r>
  </si>
  <si>
    <r>
      <rPr>
        <b/>
        <sz val="10"/>
        <color rgb="FF2E4A7A"/>
        <rFont val="Noto Sans CJK SC"/>
        <family val="2"/>
      </rPr>
      <t xml:space="preserve">■ 핵심 가정 </t>
    </r>
    <r>
      <rPr>
        <b/>
        <sz val="10"/>
        <color rgb="FF2E4A7A"/>
        <rFont val="Malgun Gothic"/>
        <family val="3"/>
        <charset val="129"/>
      </rPr>
      <t>(</t>
    </r>
    <r>
      <rPr>
        <b/>
        <sz val="10"/>
        <color rgb="FF2E4A7A"/>
        <rFont val="Noto Sans CJK SC"/>
        <family val="2"/>
      </rPr>
      <t>조정 가능</t>
    </r>
    <r>
      <rPr>
        <b/>
        <sz val="10"/>
        <color rgb="FF2E4A7A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</si>
  <si>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반복매출 </t>
    </r>
    <r>
      <rPr>
        <sz val="9"/>
        <color rgb="FF000000"/>
        <rFont val="Malgun Gothic"/>
        <family val="3"/>
        <charset val="129"/>
      </rPr>
      <t xml:space="preserve">= </t>
    </r>
    <r>
      <rPr>
        <sz val="9"/>
        <color rgb="FF000000"/>
        <rFont val="Noto Sans CJK SC"/>
        <family val="2"/>
      </rPr>
      <t>당년 매출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  <family val="2"/>
      </rPr>
      <t>지하관로 제외</t>
    </r>
    <r>
      <rPr>
        <sz val="9"/>
        <color rgb="FF000000"/>
        <rFont val="Malgun Gothic"/>
        <family val="3"/>
        <charset val="129"/>
      </rPr>
      <t xml:space="preserve">) × </t>
    </r>
    <r>
      <rPr>
        <sz val="9"/>
        <color rgb="FF000000"/>
        <rFont val="Noto Sans CJK SC"/>
        <family val="2"/>
      </rPr>
      <t>연도별 반복율</t>
    </r>
    <r>
      <rPr>
        <sz val="9"/>
        <color rgb="FF000000"/>
        <rFont val="Malgun Gothic"/>
        <family val="3"/>
        <charset val="129"/>
      </rPr>
      <t xml:space="preserve">(↓ </t>
    </r>
    <r>
      <rPr>
        <sz val="9"/>
        <color rgb="FF000000"/>
        <rFont val="Noto Sans CJK SC"/>
        <family val="2"/>
      </rPr>
      <t>표</t>
    </r>
    <r>
      <rPr>
        <sz val="9"/>
        <color rgb="FF000000"/>
        <rFont val="Malgun Gothic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덱 </t>
    </r>
    <r>
      <rPr>
        <sz val="9"/>
        <color rgb="FF000000"/>
        <rFont val="Malgun Gothic"/>
        <family val="3"/>
        <charset val="129"/>
      </rPr>
      <t xml:space="preserve">IR p.20 </t>
    </r>
    <r>
      <rPr>
        <sz val="9"/>
        <color rgb="FF000000"/>
        <rFont val="Noto Sans CJK SC"/>
        <family val="2"/>
      </rPr>
      <t>기준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</si>
  <si>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 xml:space="preserve">  └ AI</t>
    </r>
    <r>
      <rPr>
        <sz val="9"/>
        <color rgb="FF000000"/>
        <rFont val="Noto Sans CJK SC"/>
        <family val="2"/>
      </rPr>
      <t>구독</t>
    </r>
    <r>
      <rPr>
        <sz val="9"/>
        <color rgb="FF000000"/>
        <rFont val="Malgun Gothic"/>
        <family val="3"/>
        <charset val="129"/>
      </rPr>
      <t xml:space="preserve">(SaaS) </t>
    </r>
    <r>
      <rPr>
        <sz val="9"/>
        <color rgb="FF000000"/>
        <rFont val="Noto Sans CJK SC"/>
        <family val="2"/>
      </rPr>
      <t xml:space="preserve">비중 </t>
    </r>
    <r>
      <rPr>
        <sz val="9"/>
        <color rgb="FF000000"/>
        <rFont val="Malgun Gothic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유지보수</t>
    </r>
    <r>
      <rPr>
        <sz val="9"/>
        <color rgb="FF000000"/>
        <rFont val="Malgun Gothic"/>
        <family val="3"/>
        <charset val="129"/>
      </rPr>
      <t xml:space="preserve">(E&amp;M) </t>
    </r>
    <r>
      <rPr>
        <sz val="9"/>
        <color rgb="FF000000"/>
        <rFont val="Noto Sans CJK SC"/>
        <family val="2"/>
      </rPr>
      <t>비중</t>
    </r>
  </si>
  <si>
    <t>=</t>
  </si>
  <si>
    <r>
      <rPr>
        <b/>
        <sz val="9"/>
        <color rgb="FF000000"/>
        <rFont val="Noto Sans CJK SC"/>
        <family val="2"/>
      </rPr>
      <t>유형 범례</t>
    </r>
    <r>
      <rPr>
        <b/>
        <sz val="9"/>
        <color rgb="FF000000"/>
        <rFont val="Malgun Gothic"/>
        <family val="3"/>
        <charset val="129"/>
      </rPr>
      <t>:</t>
    </r>
  </si>
  <si>
    <t>확정</t>
  </si>
  <si>
    <t>파이프라인</t>
  </si>
  <si>
    <t>업사이드</t>
  </si>
  <si>
    <t>구분</t>
  </si>
  <si>
    <t>세부 수요처</t>
  </si>
  <si>
    <t>유형</t>
  </si>
  <si>
    <t>단가</t>
  </si>
  <si>
    <r>
      <rPr>
        <b/>
        <sz val="9"/>
        <color rgb="FFFFFFFF"/>
        <rFont val="Malgun Gothic"/>
        <family val="3"/>
        <charset val="129"/>
      </rPr>
      <t>2026</t>
    </r>
    <r>
      <rPr>
        <b/>
        <sz val="9"/>
        <color rgb="FFFFFFFF"/>
        <rFont val="Noto Sans CJK SC"/>
        <family val="2"/>
      </rPr>
      <t>년</t>
    </r>
  </si>
  <si>
    <r>
      <rPr>
        <b/>
        <sz val="9"/>
        <color rgb="FFFFFFFF"/>
        <rFont val="Malgun Gothic"/>
        <family val="3"/>
        <charset val="129"/>
      </rPr>
      <t>2027</t>
    </r>
    <r>
      <rPr>
        <b/>
        <sz val="9"/>
        <color rgb="FFFFFFFF"/>
        <rFont val="Noto Sans CJK SC"/>
        <family val="2"/>
      </rPr>
      <t>년</t>
    </r>
  </si>
  <si>
    <r>
      <rPr>
        <b/>
        <sz val="9"/>
        <color rgb="FFFFFFFF"/>
        <rFont val="Malgun Gothic"/>
        <family val="3"/>
        <charset val="129"/>
      </rPr>
      <t>2028</t>
    </r>
    <r>
      <rPr>
        <b/>
        <sz val="9"/>
        <color rgb="FFFFFFFF"/>
        <rFont val="Noto Sans CJK SC"/>
        <family val="2"/>
      </rPr>
      <t>년</t>
    </r>
  </si>
  <si>
    <r>
      <rPr>
        <b/>
        <sz val="9"/>
        <color rgb="FFFFFFFF"/>
        <rFont val="Malgun Gothic"/>
        <family val="3"/>
        <charset val="129"/>
      </rPr>
      <t>2029</t>
    </r>
    <r>
      <rPr>
        <b/>
        <sz val="9"/>
        <color rgb="FFFFFFFF"/>
        <rFont val="Noto Sans CJK SC"/>
        <family val="2"/>
      </rPr>
      <t>년</t>
    </r>
  </si>
  <si>
    <r>
      <rPr>
        <b/>
        <sz val="9"/>
        <color rgb="FFFFFFFF"/>
        <rFont val="Malgun Gothic"/>
        <family val="3"/>
        <charset val="129"/>
      </rPr>
      <t>2030</t>
    </r>
    <r>
      <rPr>
        <b/>
        <sz val="9"/>
        <color rgb="FFFFFFFF"/>
        <rFont val="Noto Sans CJK SC"/>
        <family val="2"/>
      </rPr>
      <t>년</t>
    </r>
  </si>
  <si>
    <t>비고</t>
  </si>
  <si>
    <t>수량</t>
  </si>
  <si>
    <t>매출</t>
  </si>
  <si>
    <t>맨홀 모니터링</t>
  </si>
  <si>
    <r>
      <rPr>
        <sz val="9"/>
        <color rgb="FF000000"/>
        <rFont val="Noto Sans CJK SC"/>
        <family val="2"/>
      </rPr>
      <t>지자체 강남구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은평구</t>
    </r>
  </si>
  <si>
    <r>
      <rPr>
        <sz val="9"/>
        <color rgb="FF000000"/>
        <rFont val="Noto Sans CJK SC"/>
        <family val="2"/>
      </rPr>
      <t>지자체 구로구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노원구</t>
    </r>
  </si>
  <si>
    <t>지자체 남양주</t>
  </si>
  <si>
    <t>지자체 서산</t>
  </si>
  <si>
    <r>
      <rPr>
        <sz val="9"/>
        <color rgb="FF000000"/>
        <rFont val="Noto Sans CJK SC"/>
        <family val="2"/>
      </rPr>
      <t>지자체 논산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사천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속초</t>
    </r>
  </si>
  <si>
    <r>
      <rPr>
        <sz val="9"/>
        <color rgb="FF000000"/>
        <rFont val="Noto Sans CJK SC"/>
        <family val="2"/>
      </rPr>
      <t>지자체 대구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부천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수원 등</t>
    </r>
  </si>
  <si>
    <t>군부대 해군사관학교</t>
  </si>
  <si>
    <t>혁신조달 조달청</t>
  </si>
  <si>
    <r>
      <rPr>
        <sz val="9"/>
        <color rgb="FF000000"/>
        <rFont val="Noto Sans CJK SC"/>
        <family val="2"/>
      </rPr>
      <t>수출 말레이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독일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싱가폴</t>
    </r>
  </si>
  <si>
    <t>맨홀 모니터링 소계</t>
  </si>
  <si>
    <t>물순환 조성사업</t>
  </si>
  <si>
    <r>
      <rPr>
        <sz val="9"/>
        <color rgb="FF000000"/>
        <rFont val="Noto Sans CJK SC"/>
        <family val="2"/>
      </rPr>
      <t>안동시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수자원공사</t>
    </r>
  </si>
  <si>
    <r>
      <rPr>
        <sz val="9"/>
        <color rgb="FF000000"/>
        <rFont val="Noto Sans CJK SC"/>
        <family val="2"/>
      </rPr>
      <t>순천</t>
    </r>
    <r>
      <rPr>
        <sz val="9"/>
        <color rgb="FF000000"/>
        <rFont val="Malgun Gothic"/>
        <family val="3"/>
        <charset val="129"/>
      </rPr>
      <t>,</t>
    </r>
    <r>
      <rPr>
        <sz val="9"/>
        <color rgb="FF000000"/>
        <rFont val="Noto Sans CJK SC"/>
        <family val="2"/>
      </rPr>
      <t>나주 등 지자체</t>
    </r>
  </si>
  <si>
    <t>물순환 조성사업 소계</t>
  </si>
  <si>
    <t>지하관로 모니터링</t>
  </si>
  <si>
    <t>울산산업단지</t>
  </si>
  <si>
    <r>
      <rPr>
        <sz val="9"/>
        <color rgb="FF000000"/>
        <rFont val="Malgun Gothic"/>
        <family val="3"/>
        <charset val="129"/>
      </rPr>
      <t>SK E&amp;S (</t>
    </r>
    <r>
      <rPr>
        <sz val="9"/>
        <color rgb="FF000000"/>
        <rFont val="Noto Sans CJK SC"/>
        <family val="2"/>
      </rPr>
      <t>민간</t>
    </r>
    <r>
      <rPr>
        <sz val="9"/>
        <color rgb="FF000000"/>
        <rFont val="Malgun Gothic"/>
        <family val="3"/>
        <charset val="129"/>
      </rPr>
      <t>)</t>
    </r>
  </si>
  <si>
    <t>타 산업단지 등</t>
  </si>
  <si>
    <r>
      <rPr>
        <sz val="9"/>
        <color rgb="FF000000"/>
        <rFont val="Noto Sans CJK SC"/>
        <family val="2"/>
      </rPr>
      <t>수출 미국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사우디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멕시코</t>
    </r>
  </si>
  <si>
    <t>지하관로 모니터링 소계</t>
  </si>
  <si>
    <t>스마트 병기고</t>
  </si>
  <si>
    <r>
      <rPr>
        <sz val="9"/>
        <color rgb="FF000000"/>
        <rFont val="Noto Sans CJK SC"/>
        <family val="2"/>
      </rPr>
      <t xml:space="preserve">육군 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  <family val="2"/>
      </rPr>
      <t>탄약고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총기고</t>
    </r>
    <r>
      <rPr>
        <sz val="9"/>
        <color rgb="FF000000"/>
        <rFont val="Malgun Gothic"/>
        <family val="3"/>
        <charset val="129"/>
      </rPr>
      <t>)</t>
    </r>
  </si>
  <si>
    <r>
      <rPr>
        <sz val="9"/>
        <color rgb="FF000000"/>
        <rFont val="Noto Sans CJK SC"/>
        <family val="2"/>
      </rPr>
      <t>공군</t>
    </r>
    <r>
      <rPr>
        <sz val="9"/>
        <color rgb="FF000000"/>
        <rFont val="Malgun Gothic"/>
        <family val="3"/>
        <charset val="129"/>
      </rPr>
      <t>/</t>
    </r>
    <r>
      <rPr>
        <sz val="9"/>
        <color rgb="FF000000"/>
        <rFont val="Noto Sans CJK SC"/>
        <family val="2"/>
      </rPr>
      <t>해군</t>
    </r>
  </si>
  <si>
    <t>수출 말레이</t>
  </si>
  <si>
    <t>스마트 병기고 소계</t>
  </si>
  <si>
    <r>
      <rPr>
        <b/>
        <sz val="9"/>
        <color rgb="FF2E4A7A"/>
        <rFont val="Noto Sans CJK SC"/>
        <family val="2"/>
      </rPr>
      <t>전남</t>
    </r>
    <r>
      <rPr>
        <b/>
        <sz val="9"/>
        <color rgb="FF2E4A7A"/>
        <rFont val="Malgun Gothic"/>
        <family val="3"/>
        <charset val="129"/>
      </rPr>
      <t>·</t>
    </r>
    <r>
      <rPr>
        <b/>
        <sz val="9"/>
        <color rgb="FF2E4A7A"/>
        <rFont val="Noto Sans CJK SC"/>
        <family val="2"/>
      </rPr>
      <t>광주 통합안전플랫폼</t>
    </r>
  </si>
  <si>
    <r>
      <rPr>
        <sz val="9"/>
        <color rgb="FF000000"/>
        <rFont val="Noto Sans CJK SC"/>
        <family val="2"/>
      </rPr>
      <t xml:space="preserve">광주시 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  <family val="2"/>
      </rPr>
      <t>직접매출분</t>
    </r>
    <r>
      <rPr>
        <sz val="9"/>
        <color rgb="FF000000"/>
        <rFont val="Malgun Gothic"/>
        <family val="3"/>
        <charset val="129"/>
      </rPr>
      <t>)</t>
    </r>
  </si>
  <si>
    <r>
      <rPr>
        <b/>
        <sz val="9"/>
        <color rgb="FF2E4A7A"/>
        <rFont val="Noto Sans CJK SC"/>
        <family val="2"/>
      </rPr>
      <t>전남</t>
    </r>
    <r>
      <rPr>
        <b/>
        <sz val="9"/>
        <color rgb="FF2E4A7A"/>
        <rFont val="Malgun Gothic"/>
        <family val="3"/>
        <charset val="129"/>
      </rPr>
      <t>·</t>
    </r>
    <r>
      <rPr>
        <b/>
        <sz val="9"/>
        <color rgb="FF2E4A7A"/>
        <rFont val="Noto Sans CJK SC"/>
        <family val="2"/>
      </rPr>
      <t>광주 통합안전플랫폼 소계</t>
    </r>
  </si>
  <si>
    <r>
      <rPr>
        <b/>
        <sz val="10"/>
        <color rgb="FFFFFFFF"/>
        <rFont val="Noto Sans CJK SC"/>
        <family val="2"/>
      </rPr>
      <t xml:space="preserve">설치매출 계 </t>
    </r>
    <r>
      <rPr>
        <b/>
        <sz val="10"/>
        <color rgb="FFFFFFFF"/>
        <rFont val="Malgun Gothic"/>
        <family val="3"/>
        <charset val="129"/>
      </rPr>
      <t>(Hardware)</t>
    </r>
  </si>
  <si>
    <r>
      <rPr>
        <b/>
        <sz val="9"/>
        <color rgb="FF5A6472"/>
        <rFont val="Noto Sans CJK SC"/>
        <family val="2"/>
      </rPr>
      <t xml:space="preserve">반복매출 산정 기준 </t>
    </r>
    <r>
      <rPr>
        <b/>
        <sz val="9"/>
        <color rgb="FF5A6472"/>
        <rFont val="Malgun Gothic"/>
        <family val="3"/>
        <charset val="129"/>
      </rPr>
      <t>(</t>
    </r>
    <r>
      <rPr>
        <b/>
        <sz val="9"/>
        <color rgb="FF5A6472"/>
        <rFont val="Noto Sans CJK SC"/>
        <family val="2"/>
      </rPr>
      <t>당년</t>
    </r>
    <r>
      <rPr>
        <b/>
        <sz val="9"/>
        <color rgb="FF5A6472"/>
        <rFont val="Malgun Gothic"/>
        <family val="3"/>
        <charset val="129"/>
      </rPr>
      <t>·</t>
    </r>
    <r>
      <rPr>
        <b/>
        <sz val="9"/>
        <color rgb="FF5A6472"/>
        <rFont val="Noto Sans CJK SC"/>
        <family val="2"/>
      </rPr>
      <t>지하관로 제외</t>
    </r>
    <r>
      <rPr>
        <b/>
        <sz val="9"/>
        <color rgb="FF5A6472"/>
        <rFont val="Malgun Gothic"/>
        <family val="3"/>
        <charset val="129"/>
      </rPr>
      <t>)</t>
    </r>
  </si>
  <si>
    <r>
      <rPr>
        <b/>
        <sz val="9"/>
        <color rgb="FF000000"/>
        <rFont val="Noto Sans CJK SC"/>
        <family val="2"/>
      </rPr>
      <t xml:space="preserve">반복매출율 </t>
    </r>
    <r>
      <rPr>
        <b/>
        <sz val="9"/>
        <color rgb="FF000000"/>
        <rFont val="Malgun Gothic"/>
        <family val="3"/>
        <charset val="129"/>
      </rPr>
      <t>(</t>
    </r>
    <r>
      <rPr>
        <b/>
        <sz val="9"/>
        <color rgb="FF000000"/>
        <rFont val="Noto Sans CJK SC"/>
        <family val="2"/>
      </rPr>
      <t>당년 대비</t>
    </r>
    <r>
      <rPr>
        <b/>
        <sz val="9"/>
        <color rgb="FF000000"/>
        <rFont val="Malgun Gothic"/>
        <family val="3"/>
        <charset val="129"/>
      </rPr>
      <t>)</t>
    </r>
  </si>
  <si>
    <r>
      <rPr>
        <b/>
        <sz val="9"/>
        <color rgb="FF000000"/>
        <rFont val="Noto Sans CJK SC"/>
        <family val="2"/>
      </rPr>
      <t xml:space="preserve">유지보수 </t>
    </r>
    <r>
      <rPr>
        <b/>
        <sz val="9"/>
        <color rgb="FF000000"/>
        <rFont val="Malgun Gothic"/>
        <family val="3"/>
        <charset val="129"/>
      </rPr>
      <t>(E&amp;M)</t>
    </r>
  </si>
  <si>
    <r>
      <rPr>
        <b/>
        <sz val="9"/>
        <color rgb="FF4472C4"/>
        <rFont val="Malgun Gothic"/>
        <family val="3"/>
        <charset val="129"/>
      </rPr>
      <t xml:space="preserve">AI </t>
    </r>
    <r>
      <rPr>
        <b/>
        <sz val="9"/>
        <color rgb="FF4472C4"/>
        <rFont val="Noto Sans CJK SC"/>
        <family val="2"/>
      </rPr>
      <t xml:space="preserve">구독 </t>
    </r>
    <r>
      <rPr>
        <b/>
        <sz val="9"/>
        <color rgb="FF4472C4"/>
        <rFont val="Malgun Gothic"/>
        <family val="3"/>
        <charset val="129"/>
      </rPr>
      <t>(SaaS · ARR)</t>
    </r>
  </si>
  <si>
    <r>
      <rPr>
        <b/>
        <sz val="9"/>
        <color rgb="FF2E4A7A"/>
        <rFont val="Noto Sans CJK SC"/>
        <family val="2"/>
      </rPr>
      <t xml:space="preserve">반복매출 계 </t>
    </r>
    <r>
      <rPr>
        <b/>
        <sz val="9"/>
        <color rgb="FF2E4A7A"/>
        <rFont val="Malgun Gothic"/>
        <family val="3"/>
        <charset val="129"/>
      </rPr>
      <t>(Recurring)</t>
    </r>
  </si>
  <si>
    <t>총매출 계</t>
  </si>
  <si>
    <r>
      <rPr>
        <sz val="8"/>
        <color rgb="FF5A6472"/>
        <rFont val="Noto Sans CJK SC"/>
        <family val="2"/>
      </rPr>
      <t>※ 설치매출</t>
    </r>
    <r>
      <rPr>
        <sz val="8"/>
        <color rgb="FF5A6472"/>
        <rFont val="Malgun Gothic"/>
        <family val="3"/>
        <charset val="129"/>
      </rPr>
      <t>=</t>
    </r>
    <r>
      <rPr>
        <sz val="8"/>
        <color rgb="FF5A6472"/>
        <rFont val="Noto Sans CJK SC"/>
        <family val="2"/>
      </rPr>
      <t>수량</t>
    </r>
    <r>
      <rPr>
        <sz val="8"/>
        <color rgb="FF5A6472"/>
        <rFont val="Malgun Gothic"/>
        <family val="3"/>
        <charset val="129"/>
      </rPr>
      <t>×</t>
    </r>
    <r>
      <rPr>
        <sz val="8"/>
        <color rgb="FF5A6472"/>
        <rFont val="Noto Sans CJK SC"/>
        <family val="2"/>
      </rPr>
      <t>단가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회사 데이터 보존</t>
    </r>
    <r>
      <rPr>
        <sz val="8"/>
        <color rgb="FF5A6472"/>
        <rFont val="Malgun Gothic"/>
        <family val="3"/>
        <charset val="129"/>
      </rPr>
      <t xml:space="preserve">). </t>
    </r>
    <r>
      <rPr>
        <sz val="8"/>
        <color rgb="FF5A6472"/>
        <rFont val="Noto Sans CJK SC"/>
        <family val="2"/>
      </rPr>
      <t>반복매출</t>
    </r>
    <r>
      <rPr>
        <sz val="8"/>
        <color rgb="FF5A6472"/>
        <rFont val="Malgun Gothic"/>
        <family val="3"/>
        <charset val="129"/>
      </rPr>
      <t>=‘</t>
    </r>
    <r>
      <rPr>
        <sz val="8"/>
        <color rgb="FF5A6472"/>
        <rFont val="Noto Sans CJK SC"/>
        <family val="2"/>
      </rPr>
      <t>산정기준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당년</t>
    </r>
    <r>
      <rPr>
        <sz val="8"/>
        <color rgb="FF5A6472"/>
        <rFont val="Malgun Gothic"/>
        <family val="3"/>
        <charset val="129"/>
      </rPr>
      <t>·</t>
    </r>
    <r>
      <rPr>
        <sz val="8"/>
        <color rgb="FF5A6472"/>
        <rFont val="Noto Sans CJK SC"/>
        <family val="2"/>
      </rPr>
      <t>지하관로 제외</t>
    </r>
    <r>
      <rPr>
        <sz val="8"/>
        <color rgb="FF5A6472"/>
        <rFont val="Malgun Gothic"/>
        <family val="3"/>
        <charset val="129"/>
      </rPr>
      <t>)’ × ‘</t>
    </r>
    <r>
      <rPr>
        <sz val="8"/>
        <color rgb="FF5A6472"/>
        <rFont val="Noto Sans CJK SC"/>
        <family val="2"/>
      </rPr>
      <t>반복매출율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당년 대비</t>
    </r>
    <r>
      <rPr>
        <sz val="8"/>
        <color rgb="FF5A6472"/>
        <rFont val="Malgun Gothic"/>
        <family val="3"/>
        <charset val="129"/>
      </rPr>
      <t xml:space="preserve">, </t>
    </r>
    <r>
      <rPr>
        <sz val="8"/>
        <color rgb="FF5A6472"/>
        <rFont val="Noto Sans CJK SC"/>
        <family val="2"/>
      </rPr>
      <t xml:space="preserve">덱 </t>
    </r>
    <r>
      <rPr>
        <sz val="8"/>
        <color rgb="FF5A6472"/>
        <rFont val="Malgun Gothic"/>
        <family val="3"/>
        <charset val="129"/>
      </rPr>
      <t xml:space="preserve">IR p.20)’ → </t>
    </r>
    <r>
      <rPr>
        <sz val="8"/>
        <color rgb="FF5A6472"/>
        <rFont val="Noto Sans CJK SC"/>
        <family val="2"/>
      </rPr>
      <t>유지보수</t>
    </r>
    <r>
      <rPr>
        <sz val="8"/>
        <color rgb="FF5A6472"/>
        <rFont val="Malgun Gothic"/>
        <family val="3"/>
        <charset val="129"/>
      </rPr>
      <t>52%·AI</t>
    </r>
    <r>
      <rPr>
        <sz val="8"/>
        <color rgb="FF5A6472"/>
        <rFont val="Noto Sans CJK SC"/>
        <family val="2"/>
      </rPr>
      <t>구독</t>
    </r>
    <r>
      <rPr>
        <sz val="8"/>
        <color rgb="FF5A6472"/>
        <rFont val="Malgun Gothic"/>
        <family val="3"/>
        <charset val="129"/>
      </rPr>
      <t xml:space="preserve">48% </t>
    </r>
    <r>
      <rPr>
        <sz val="8"/>
        <color rgb="FF5A6472"/>
        <rFont val="Noto Sans CJK SC"/>
        <family val="2"/>
      </rPr>
      <t>분배</t>
    </r>
    <r>
      <rPr>
        <sz val="8"/>
        <color rgb="FF5A6472"/>
        <rFont val="Malgun Gothic"/>
        <family val="3"/>
        <charset val="129"/>
      </rPr>
      <t xml:space="preserve">. </t>
    </r>
    <r>
      <rPr>
        <sz val="8"/>
        <color rgb="FF5A6472"/>
        <rFont val="Noto Sans CJK SC"/>
        <family val="2"/>
      </rPr>
      <t>노란 칸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반복매출율 행</t>
    </r>
    <r>
      <rPr>
        <sz val="8"/>
        <color rgb="FF5A6472"/>
        <rFont val="Malgun Gothic"/>
        <family val="3"/>
        <charset val="129"/>
      </rPr>
      <t>·E6)</t>
    </r>
    <r>
      <rPr>
        <sz val="8"/>
        <color rgb="FF5A6472"/>
        <rFont val="Noto Sans CJK SC"/>
        <family val="2"/>
      </rPr>
      <t>만 조정하면 전체 재계산</t>
    </r>
    <r>
      <rPr>
        <sz val="8"/>
        <color rgb="FF5A6472"/>
        <rFont val="Malgun Gothic"/>
        <family val="3"/>
        <charset val="129"/>
      </rPr>
      <t xml:space="preserve">. </t>
    </r>
    <r>
      <rPr>
        <sz val="8"/>
        <color rgb="FF5A6472"/>
        <rFont val="Noto Sans CJK SC"/>
        <family val="2"/>
      </rPr>
      <t>각 행 이름 셀 메모에 산식 예시 수록</t>
    </r>
    <r>
      <rPr>
        <sz val="8"/>
        <color rgb="FF5A6472"/>
        <rFont val="Malgun Gothic"/>
        <family val="3"/>
        <charset val="129"/>
      </rPr>
      <t>.</t>
    </r>
  </si>
  <si>
    <r>
      <rPr>
        <sz val="8"/>
        <color rgb="FF5A6472"/>
        <rFont val="Noto Sans CJK SC"/>
        <family val="2"/>
      </rPr>
      <t>※ 전남</t>
    </r>
    <r>
      <rPr>
        <sz val="8"/>
        <color rgb="FF5A6472"/>
        <rFont val="Malgun Gothic"/>
        <family val="3"/>
        <charset val="129"/>
      </rPr>
      <t>·</t>
    </r>
    <r>
      <rPr>
        <sz val="8"/>
        <color rgb="FF5A6472"/>
        <rFont val="Noto Sans CJK SC"/>
        <family val="2"/>
      </rPr>
      <t>광주</t>
    </r>
    <r>
      <rPr>
        <sz val="8"/>
        <color rgb="FF5A6472"/>
        <rFont val="Malgun Gothic"/>
        <family val="3"/>
        <charset val="129"/>
      </rPr>
      <t xml:space="preserve">: </t>
    </r>
    <r>
      <rPr>
        <sz val="8"/>
        <color rgb="FF5A6472"/>
        <rFont val="Noto Sans CJK SC"/>
        <family val="2"/>
      </rPr>
      <t>위 ‘광주시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직접매출분</t>
    </r>
    <r>
      <rPr>
        <sz val="8"/>
        <color rgb="FF5A6472"/>
        <rFont val="Malgun Gothic"/>
        <family val="3"/>
        <charset val="129"/>
      </rPr>
      <t>)’</t>
    </r>
    <r>
      <rPr>
        <sz val="8"/>
        <color rgb="FF5A6472"/>
        <rFont val="Noto Sans CJK SC"/>
        <family val="2"/>
      </rPr>
      <t>은 큐테크 직접매출이며</t>
    </r>
    <r>
      <rPr>
        <sz val="8"/>
        <color rgb="FF5A6472"/>
        <rFont val="Malgun Gothic"/>
        <family val="3"/>
        <charset val="129"/>
      </rPr>
      <t xml:space="preserve">, </t>
    </r>
    <r>
      <rPr>
        <sz val="8"/>
        <color rgb="FF5A6472"/>
        <rFont val="Noto Sans CJK SC"/>
        <family val="2"/>
      </rPr>
      <t xml:space="preserve">사업 총사업비 </t>
    </r>
    <r>
      <rPr>
        <sz val="8"/>
        <color rgb="FF5A6472"/>
        <rFont val="Malgun Gothic"/>
        <family val="3"/>
        <charset val="129"/>
      </rPr>
      <t>5,200</t>
    </r>
    <r>
      <rPr>
        <sz val="8"/>
        <color rgb="FF5A6472"/>
        <rFont val="Noto Sans CJK SC"/>
        <family val="2"/>
      </rPr>
      <t>억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국비</t>
    </r>
    <r>
      <rPr>
        <sz val="8"/>
        <color rgb="FF5A6472"/>
        <rFont val="Malgun Gothic"/>
        <family val="3"/>
        <charset val="129"/>
      </rPr>
      <t>3,460+</t>
    </r>
    <r>
      <rPr>
        <sz val="8"/>
        <color rgb="FF5A6472"/>
        <rFont val="Noto Sans CJK SC"/>
        <family val="2"/>
      </rPr>
      <t>지방</t>
    </r>
    <r>
      <rPr>
        <sz val="8"/>
        <color rgb="FF5A6472"/>
        <rFont val="Malgun Gothic"/>
        <family val="3"/>
        <charset val="129"/>
      </rPr>
      <t>1,560)</t>
    </r>
    <r>
      <rPr>
        <sz val="8"/>
        <color rgb="FF5A6472"/>
        <rFont val="Noto Sans CJK SC"/>
        <family val="2"/>
      </rPr>
      <t>과는 구분됨 — ‘요약’ 시트 참조</t>
    </r>
    <r>
      <rPr>
        <sz val="8"/>
        <color rgb="FF5A6472"/>
        <rFont val="Malgun Gothic"/>
        <family val="3"/>
        <charset val="129"/>
      </rPr>
      <t>.</t>
    </r>
  </si>
  <si>
    <r>
      <rPr>
        <b/>
        <sz val="15"/>
        <color rgb="FF1F3864"/>
        <rFont val="Noto Sans CJK SC"/>
        <family val="2"/>
      </rPr>
      <t xml:space="preserve">매출 요약 </t>
    </r>
    <r>
      <rPr>
        <b/>
        <sz val="15"/>
        <color rgb="FF1F3864"/>
        <rFont val="Malgun Gothic"/>
        <family val="3"/>
        <charset val="129"/>
      </rPr>
      <t xml:space="preserve">&amp; </t>
    </r>
    <r>
      <rPr>
        <b/>
        <sz val="15"/>
        <color rgb="FF1F3864"/>
        <rFont val="Noto Sans CJK SC"/>
        <family val="2"/>
      </rPr>
      <t>덱 정합성</t>
    </r>
  </si>
  <si>
    <r>
      <rPr>
        <sz val="9"/>
        <color rgb="FF5A6472"/>
        <rFont val="Noto Sans CJK SC"/>
        <family val="2"/>
      </rPr>
      <t>단위</t>
    </r>
    <r>
      <rPr>
        <sz val="9"/>
        <color rgb="FF5A6472"/>
        <rFont val="Malgun Gothic"/>
        <family val="3"/>
        <charset val="129"/>
      </rPr>
      <t xml:space="preserve">: </t>
    </r>
    <r>
      <rPr>
        <sz val="9"/>
        <color rgb="FF5A6472"/>
        <rFont val="Noto Sans CJK SC"/>
        <family val="2"/>
      </rPr>
      <t>억원</t>
    </r>
  </si>
  <si>
    <t>2026</t>
  </si>
  <si>
    <t>2027</t>
  </si>
  <si>
    <t>2028</t>
  </si>
  <si>
    <t>2029</t>
  </si>
  <si>
    <t>2030</t>
  </si>
  <si>
    <r>
      <rPr>
        <b/>
        <sz val="10"/>
        <color rgb="FFFFFFFF"/>
        <rFont val="Malgun Gothic"/>
        <family val="3"/>
        <charset val="129"/>
      </rPr>
      <t>5</t>
    </r>
    <r>
      <rPr>
        <b/>
        <sz val="10"/>
        <color rgb="FFFFFFFF"/>
        <rFont val="Noto Sans CJK SC"/>
        <family val="2"/>
      </rPr>
      <t>년 누적</t>
    </r>
  </si>
  <si>
    <r>
      <rPr>
        <b/>
        <sz val="9"/>
        <color rgb="FF000000"/>
        <rFont val="Noto Sans CJK SC"/>
        <family val="2"/>
      </rPr>
      <t xml:space="preserve">설치매출 </t>
    </r>
    <r>
      <rPr>
        <b/>
        <sz val="9"/>
        <color rgb="FF000000"/>
        <rFont val="Malgun Gothic"/>
        <family val="3"/>
        <charset val="129"/>
      </rPr>
      <t>(Hardware)</t>
    </r>
  </si>
  <si>
    <r>
      <rPr>
        <sz val="9"/>
        <color rgb="FF000000"/>
        <rFont val="Noto Sans CJK SC"/>
        <family val="2"/>
      </rPr>
      <t xml:space="preserve">유지보수 </t>
    </r>
    <r>
      <rPr>
        <sz val="9"/>
        <color rgb="FF000000"/>
        <rFont val="Malgun Gothic"/>
        <family val="3"/>
        <charset val="129"/>
      </rPr>
      <t>(E&amp;M)</t>
    </r>
  </si>
  <si>
    <r>
      <rPr>
        <sz val="9"/>
        <color rgb="FF000000"/>
        <rFont val="Malgun Gothic"/>
        <family val="3"/>
        <charset val="129"/>
      </rPr>
      <t xml:space="preserve">AI </t>
    </r>
    <r>
      <rPr>
        <sz val="9"/>
        <color rgb="FF000000"/>
        <rFont val="Noto Sans CJK SC"/>
        <family val="2"/>
      </rPr>
      <t xml:space="preserve">구독 </t>
    </r>
    <r>
      <rPr>
        <sz val="9"/>
        <color rgb="FF000000"/>
        <rFont val="Malgun Gothic"/>
        <family val="3"/>
        <charset val="129"/>
      </rPr>
      <t>(SaaS·ARR)</t>
    </r>
  </si>
  <si>
    <t>총매출</t>
  </si>
  <si>
    <t>전년대비 성장률</t>
  </si>
  <si>
    <t>–</t>
  </si>
  <si>
    <r>
      <rPr>
        <b/>
        <sz val="11"/>
        <color rgb="FF2E4A7A"/>
        <rFont val="Noto Sans CJK SC"/>
        <family val="2"/>
      </rPr>
      <t xml:space="preserve">매출 구성 비중 </t>
    </r>
    <r>
      <rPr>
        <b/>
        <sz val="11"/>
        <color rgb="FF2E4A7A"/>
        <rFont val="Malgun Gothic"/>
        <family val="3"/>
        <charset val="129"/>
      </rPr>
      <t>(2028E)</t>
    </r>
  </si>
  <si>
    <r>
      <rPr>
        <b/>
        <sz val="11"/>
        <color rgb="FF2E4A7A"/>
        <rFont val="Malgun Gothic"/>
        <family val="3"/>
        <charset val="129"/>
      </rPr>
      <t>IM(</t>
    </r>
    <r>
      <rPr>
        <b/>
        <sz val="11"/>
        <color rgb="FF2E4A7A"/>
        <rFont val="Noto Sans CJK SC"/>
        <family val="2"/>
      </rPr>
      <t>덱</t>
    </r>
    <r>
      <rPr>
        <b/>
        <sz val="11"/>
        <color rgb="FF2E4A7A"/>
        <rFont val="Malgun Gothic"/>
        <family val="3"/>
        <charset val="129"/>
      </rPr>
      <t xml:space="preserve">) </t>
    </r>
    <r>
      <rPr>
        <b/>
        <sz val="11"/>
        <color rgb="FF2E4A7A"/>
        <rFont val="Noto Sans CJK SC"/>
        <family val="2"/>
      </rPr>
      <t>대비 정합</t>
    </r>
  </si>
  <si>
    <t>항목</t>
  </si>
  <si>
    <r>
      <rPr>
        <b/>
        <sz val="10"/>
        <color rgb="FFFFFFFF"/>
        <rFont val="Malgun Gothic"/>
        <family val="3"/>
        <charset val="129"/>
      </rPr>
      <t xml:space="preserve">2028 </t>
    </r>
    <r>
      <rPr>
        <b/>
        <sz val="10"/>
        <color rgb="FFFFFFFF"/>
        <rFont val="Noto Sans CJK SC"/>
        <family val="2"/>
      </rPr>
      <t>매출</t>
    </r>
  </si>
  <si>
    <t>비중</t>
  </si>
  <si>
    <t>연도</t>
  </si>
  <si>
    <r>
      <rPr>
        <b/>
        <sz val="10"/>
        <color rgb="FFFFFFFF"/>
        <rFont val="Noto Sans CJK SC"/>
        <family val="2"/>
      </rPr>
      <t xml:space="preserve">본 모델 </t>
    </r>
    <r>
      <rPr>
        <b/>
        <sz val="10"/>
        <color rgb="FFFFFFFF"/>
        <rFont val="Malgun Gothic"/>
        <family val="3"/>
        <charset val="129"/>
      </rPr>
      <t>(Base)</t>
    </r>
  </si>
  <si>
    <r>
      <rPr>
        <b/>
        <sz val="10"/>
        <color rgb="FFFFFFFF"/>
        <rFont val="Noto Sans CJK SC"/>
        <family val="2"/>
      </rPr>
      <t xml:space="preserve">덱 </t>
    </r>
    <r>
      <rPr>
        <b/>
        <sz val="10"/>
        <color rgb="FFFFFFFF"/>
        <rFont val="Malgun Gothic"/>
        <family val="3"/>
        <charset val="129"/>
      </rPr>
      <t>(Target)</t>
    </r>
  </si>
  <si>
    <t>차이</t>
  </si>
  <si>
    <r>
      <rPr>
        <b/>
        <sz val="9"/>
        <color rgb="FF4472C4"/>
        <rFont val="Malgun Gothic"/>
        <family val="3"/>
        <charset val="129"/>
      </rPr>
      <t>Hardware (</t>
    </r>
    <r>
      <rPr>
        <b/>
        <sz val="9"/>
        <color rgb="FF4472C4"/>
        <rFont val="Noto Sans CJK SC"/>
        <family val="2"/>
      </rPr>
      <t>설치</t>
    </r>
    <r>
      <rPr>
        <b/>
        <sz val="9"/>
        <color rgb="FF4472C4"/>
        <rFont val="Malgun Gothic"/>
        <family val="3"/>
        <charset val="129"/>
      </rPr>
      <t>)</t>
    </r>
  </si>
  <si>
    <r>
      <rPr>
        <b/>
        <sz val="9"/>
        <color rgb="FF2E7D32"/>
        <rFont val="Malgun Gothic"/>
        <family val="3"/>
        <charset val="129"/>
      </rPr>
      <t>SaaS (AI</t>
    </r>
    <r>
      <rPr>
        <b/>
        <sz val="9"/>
        <color rgb="FF2E7D32"/>
        <rFont val="Noto Sans CJK SC"/>
        <family val="2"/>
      </rPr>
      <t>구독</t>
    </r>
    <r>
      <rPr>
        <b/>
        <sz val="9"/>
        <color rgb="FF2E7D32"/>
        <rFont val="Malgun Gothic"/>
        <family val="3"/>
        <charset val="129"/>
      </rPr>
      <t>)</t>
    </r>
  </si>
  <si>
    <t>Engineering (E&amp;M)</t>
  </si>
  <si>
    <t>합계</t>
  </si>
  <si>
    <r>
      <rPr>
        <b/>
        <sz val="11"/>
        <color rgb="FF2E4A7A"/>
        <rFont val="Noto Sans CJK SC"/>
        <family val="2"/>
      </rPr>
      <t xml:space="preserve">설치매출 유형 구성 </t>
    </r>
    <r>
      <rPr>
        <b/>
        <sz val="11"/>
        <color rgb="FF2E4A7A"/>
        <rFont val="Malgun Gothic"/>
        <family val="3"/>
        <charset val="129"/>
      </rPr>
      <t>(</t>
    </r>
    <r>
      <rPr>
        <b/>
        <sz val="11"/>
        <color rgb="FF2E4A7A"/>
        <rFont val="Noto Sans CJK SC"/>
        <family val="2"/>
      </rPr>
      <t xml:space="preserve">확정 </t>
    </r>
    <r>
      <rPr>
        <b/>
        <sz val="11"/>
        <color rgb="FF2E4A7A"/>
        <rFont val="Malgun Gothic"/>
        <family val="3"/>
        <charset val="129"/>
      </rPr>
      <t xml:space="preserve">/ </t>
    </r>
    <r>
      <rPr>
        <b/>
        <sz val="11"/>
        <color rgb="FF2E4A7A"/>
        <rFont val="Noto Sans CJK SC"/>
        <family val="2"/>
      </rPr>
      <t xml:space="preserve">파이프라인 </t>
    </r>
    <r>
      <rPr>
        <b/>
        <sz val="11"/>
        <color rgb="FF2E4A7A"/>
        <rFont val="Malgun Gothic"/>
        <family val="3"/>
        <charset val="129"/>
      </rPr>
      <t xml:space="preserve">/ </t>
    </r>
    <r>
      <rPr>
        <b/>
        <sz val="11"/>
        <color rgb="FF2E4A7A"/>
        <rFont val="Noto Sans CJK SC"/>
        <family val="2"/>
      </rPr>
      <t>업사이드</t>
    </r>
    <r>
      <rPr>
        <b/>
        <sz val="11"/>
        <color rgb="FF2E4A7A"/>
        <rFont val="Malgun Gothic"/>
        <family val="3"/>
        <charset val="129"/>
      </rPr>
      <t>)</t>
    </r>
  </si>
  <si>
    <t>설치 계</t>
  </si>
  <si>
    <r>
      <rPr>
        <b/>
        <sz val="11"/>
        <color rgb="FF2E4A7A"/>
        <rFont val="Noto Sans CJK SC"/>
        <family val="2"/>
      </rPr>
      <t>전남</t>
    </r>
    <r>
      <rPr>
        <b/>
        <sz val="11"/>
        <color rgb="FF2E4A7A"/>
        <rFont val="Malgun Gothic"/>
        <family val="3"/>
        <charset val="129"/>
      </rPr>
      <t>·</t>
    </r>
    <r>
      <rPr>
        <b/>
        <sz val="11"/>
        <color rgb="FF2E4A7A"/>
        <rFont val="Noto Sans CJK SC"/>
        <family val="2"/>
      </rPr>
      <t xml:space="preserve">광주 통합안전플랫폼 — 사업 총규모 </t>
    </r>
    <r>
      <rPr>
        <b/>
        <sz val="11"/>
        <color rgb="FF2E4A7A"/>
        <rFont val="Malgun Gothic"/>
        <family val="3"/>
        <charset val="129"/>
      </rPr>
      <t xml:space="preserve">vs </t>
    </r>
    <r>
      <rPr>
        <b/>
        <sz val="11"/>
        <color rgb="FF2E4A7A"/>
        <rFont val="Noto Sans CJK SC"/>
        <family val="2"/>
      </rPr>
      <t>큐테크 직접매출</t>
    </r>
  </si>
  <si>
    <r>
      <rPr>
        <b/>
        <sz val="9"/>
        <color rgb="FF000000"/>
        <rFont val="Noto Sans CJK SC"/>
        <family val="2"/>
      </rPr>
      <t xml:space="preserve">사업 총사업비 </t>
    </r>
    <r>
      <rPr>
        <b/>
        <sz val="9"/>
        <color rgb="FF000000"/>
        <rFont val="Malgun Gothic"/>
        <family val="3"/>
        <charset val="129"/>
      </rPr>
      <t>(</t>
    </r>
    <r>
      <rPr>
        <b/>
        <sz val="9"/>
        <color rgb="FF000000"/>
        <rFont val="Noto Sans CJK SC"/>
        <family val="2"/>
      </rPr>
      <t>정부</t>
    </r>
    <r>
      <rPr>
        <b/>
        <sz val="9"/>
        <color rgb="FF000000"/>
        <rFont val="Malgun Gothic"/>
        <family val="3"/>
        <charset val="129"/>
      </rPr>
      <t>)</t>
    </r>
  </si>
  <si>
    <r>
      <rPr>
        <sz val="9"/>
        <color rgb="FF000000"/>
        <rFont val="Malgun Gothic"/>
        <family val="3"/>
        <charset val="129"/>
      </rPr>
      <t>5,200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  <family val="2"/>
      </rPr>
      <t xml:space="preserve">국비 </t>
    </r>
    <r>
      <rPr>
        <sz val="9"/>
        <color rgb="FF000000"/>
        <rFont val="Malgun Gothic"/>
        <family val="3"/>
        <charset val="129"/>
      </rPr>
      <t xml:space="preserve">3,460 + </t>
    </r>
    <r>
      <rPr>
        <sz val="9"/>
        <color rgb="FF000000"/>
        <rFont val="Noto Sans CJK SC"/>
        <family val="2"/>
      </rPr>
      <t xml:space="preserve">지방 </t>
    </r>
    <r>
      <rPr>
        <sz val="9"/>
        <color rgb="FF000000"/>
        <rFont val="Malgun Gothic"/>
        <family val="3"/>
        <charset val="129"/>
      </rPr>
      <t xml:space="preserve">1,560) — </t>
    </r>
    <r>
      <rPr>
        <sz val="9"/>
        <color rgb="FF000000"/>
        <rFont val="Noto Sans CJK SC"/>
        <family val="2"/>
      </rPr>
      <t>토목</t>
    </r>
    <r>
      <rPr>
        <sz val="9"/>
        <color rgb="FF000000"/>
        <rFont val="Malgun Gothic"/>
        <family val="3"/>
        <charset val="129"/>
      </rPr>
      <t>·</t>
    </r>
    <r>
      <rPr>
        <sz val="9"/>
        <color rgb="FF000000"/>
        <rFont val="Noto Sans CJK SC"/>
        <family val="2"/>
      </rPr>
      <t>디지털트윈 등 포함</t>
    </r>
  </si>
  <si>
    <r>
      <rPr>
        <b/>
        <sz val="9"/>
        <color rgb="FF000000"/>
        <rFont val="Noto Sans CJK SC"/>
        <family val="2"/>
      </rPr>
      <t xml:space="preserve">큐테크 직접매출 </t>
    </r>
    <r>
      <rPr>
        <b/>
        <sz val="9"/>
        <color rgb="FF000000"/>
        <rFont val="Malgun Gothic"/>
        <family val="3"/>
        <charset val="129"/>
      </rPr>
      <t>(5</t>
    </r>
    <r>
      <rPr>
        <b/>
        <sz val="9"/>
        <color rgb="FF000000"/>
        <rFont val="Noto Sans CJK SC"/>
        <family val="2"/>
      </rPr>
      <t>년 합</t>
    </r>
    <r>
      <rPr>
        <b/>
        <sz val="9"/>
        <color rgb="FF000000"/>
        <rFont val="Malgun Gothic"/>
        <family val="3"/>
        <charset val="129"/>
      </rPr>
      <t>)</t>
    </r>
  </si>
  <si>
    <t>성격</t>
  </si>
  <si>
    <r>
      <rPr>
        <sz val="9"/>
        <color rgb="FF000000"/>
        <rFont val="Noto Sans CJK SC"/>
        <family val="2"/>
      </rPr>
      <t>총사업비는 레퍼런스</t>
    </r>
    <r>
      <rPr>
        <sz val="9"/>
        <color rgb="FF000000"/>
        <rFont val="Malgun Gothic"/>
        <family val="3"/>
        <charset val="129"/>
      </rPr>
      <t>(</t>
    </r>
    <r>
      <rPr>
        <sz val="9"/>
        <color rgb="FF000000"/>
        <rFont val="Noto Sans CJK SC"/>
        <family val="2"/>
      </rPr>
      <t>시장규모</t>
    </r>
    <r>
      <rPr>
        <sz val="9"/>
        <color rgb="FF000000"/>
        <rFont val="Malgun Gothic"/>
        <family val="3"/>
        <charset val="129"/>
      </rPr>
      <t xml:space="preserve">), </t>
    </r>
    <r>
      <rPr>
        <sz val="9"/>
        <color rgb="FF000000"/>
        <rFont val="Noto Sans CJK SC"/>
        <family val="2"/>
      </rPr>
      <t>직접매출만 본 모델에 계상</t>
    </r>
  </si>
  <si>
    <r>
      <rPr>
        <b/>
        <sz val="11"/>
        <color rgb="FF2E4A7A"/>
        <rFont val="Noto Sans CJK SC"/>
        <family val="2"/>
      </rPr>
      <t xml:space="preserve">반복율 민감도 — </t>
    </r>
    <r>
      <rPr>
        <b/>
        <sz val="11"/>
        <color rgb="FF2E4A7A"/>
        <rFont val="Malgun Gothic"/>
        <family val="3"/>
        <charset val="129"/>
      </rPr>
      <t>2028</t>
    </r>
    <r>
      <rPr>
        <b/>
        <sz val="11"/>
        <color rgb="FF2E4A7A"/>
        <rFont val="Noto Sans CJK SC"/>
        <family val="2"/>
      </rPr>
      <t xml:space="preserve">년 </t>
    </r>
    <r>
      <rPr>
        <b/>
        <sz val="11"/>
        <color rgb="FF2E4A7A"/>
        <rFont val="Malgun Gothic"/>
        <family val="3"/>
        <charset val="129"/>
      </rPr>
      <t>(</t>
    </r>
    <r>
      <rPr>
        <b/>
        <sz val="11"/>
        <color rgb="FF2E4A7A"/>
        <rFont val="Noto Sans CJK SC"/>
        <family val="2"/>
      </rPr>
      <t>당년 기준</t>
    </r>
    <r>
      <rPr>
        <b/>
        <sz val="11"/>
        <color rgb="FF2E4A7A"/>
        <rFont val="Malgun Gothic"/>
        <family val="3"/>
        <charset val="129"/>
      </rPr>
      <t>, Base→Target)</t>
    </r>
  </si>
  <si>
    <r>
      <rPr>
        <b/>
        <sz val="10"/>
        <color rgb="FFFFFFFF"/>
        <rFont val="Noto Sans CJK SC"/>
        <family val="2"/>
      </rPr>
      <t>반복매출율</t>
    </r>
    <r>
      <rPr>
        <b/>
        <sz val="10"/>
        <color rgb="FFFFFFFF"/>
        <rFont val="Malgun Gothic"/>
        <family val="3"/>
        <charset val="129"/>
      </rPr>
      <t>(2028)</t>
    </r>
  </si>
  <si>
    <r>
      <rPr>
        <b/>
        <sz val="10"/>
        <color rgb="FFFFFFFF"/>
        <rFont val="Malgun Gothic"/>
        <family val="3"/>
        <charset val="129"/>
      </rPr>
      <t xml:space="preserve">2028 </t>
    </r>
    <r>
      <rPr>
        <b/>
        <sz val="10"/>
        <color rgb="FFFFFFFF"/>
        <rFont val="Noto Sans CJK SC"/>
        <family val="2"/>
      </rPr>
      <t>총매출</t>
    </r>
  </si>
  <si>
    <t>해석</t>
  </si>
  <si>
    <r>
      <rPr>
        <sz val="9"/>
        <color rgb="FF000000"/>
        <rFont val="Noto Sans CJK SC"/>
        <family val="2"/>
      </rPr>
      <t xml:space="preserve">덱 </t>
    </r>
    <r>
      <rPr>
        <sz val="9"/>
        <color rgb="FF000000"/>
        <rFont val="Malgun Gothic"/>
        <family val="3"/>
        <charset val="129"/>
      </rPr>
      <t xml:space="preserve">p.20 </t>
    </r>
    <r>
      <rPr>
        <sz val="9"/>
        <color rgb="FF000000"/>
        <rFont val="Noto Sans CJK SC"/>
        <family val="2"/>
      </rPr>
      <t xml:space="preserve">표기 </t>
    </r>
    <r>
      <rPr>
        <sz val="9"/>
        <color rgb="FF000000"/>
        <rFont val="Malgun Gothic"/>
        <family val="3"/>
        <charset val="129"/>
      </rPr>
      <t>(Base)</t>
    </r>
  </si>
  <si>
    <t>중간 시나리오</t>
  </si>
  <si>
    <r>
      <rPr>
        <sz val="9"/>
        <color rgb="FF000000"/>
        <rFont val="Noto Sans CJK SC"/>
        <family val="2"/>
      </rPr>
      <t xml:space="preserve">덱 목표 </t>
    </r>
    <r>
      <rPr>
        <sz val="9"/>
        <color rgb="FF000000"/>
        <rFont val="Malgun Gothic"/>
        <family val="3"/>
        <charset val="129"/>
      </rPr>
      <t>800</t>
    </r>
    <r>
      <rPr>
        <sz val="9"/>
        <color rgb="FF000000"/>
        <rFont val="Noto Sans CJK SC"/>
        <family val="2"/>
      </rPr>
      <t>억 도달</t>
    </r>
  </si>
  <si>
    <r>
      <rPr>
        <sz val="8"/>
        <color rgb="FF5A6472"/>
        <rFont val="Noto Sans CJK SC"/>
        <family val="2"/>
      </rPr>
      <t xml:space="preserve">※ 반복매출을 덱과 동일한 ‘당년 매출 </t>
    </r>
    <r>
      <rPr>
        <sz val="8"/>
        <color rgb="FF5A6472"/>
        <rFont val="Malgun Gothic"/>
        <family val="3"/>
        <charset val="129"/>
      </rPr>
      <t xml:space="preserve">× %’ </t>
    </r>
    <r>
      <rPr>
        <sz val="8"/>
        <color rgb="FF5A6472"/>
        <rFont val="Noto Sans CJK SC"/>
        <family val="2"/>
      </rPr>
      <t>방식으로 통일</t>
    </r>
    <r>
      <rPr>
        <sz val="8"/>
        <color rgb="FF5A6472"/>
        <rFont val="Malgun Gothic"/>
        <family val="3"/>
        <charset val="129"/>
      </rPr>
      <t>(2026:0/2027:10/2028:25/2029:35/2030:45%). 2028</t>
    </r>
    <r>
      <rPr>
        <sz val="8"/>
        <color rgb="FF5A6472"/>
        <rFont val="Noto Sans CJK SC"/>
        <family val="2"/>
      </rPr>
      <t xml:space="preserve">년만 덱 </t>
    </r>
    <r>
      <rPr>
        <sz val="8"/>
        <color rgb="FF5A6472"/>
        <rFont val="Malgun Gothic"/>
        <family val="3"/>
        <charset val="129"/>
      </rPr>
      <t>800</t>
    </r>
    <r>
      <rPr>
        <sz val="8"/>
        <color rgb="FF5A6472"/>
        <rFont val="Noto Sans CJK SC"/>
        <family val="2"/>
      </rPr>
      <t>억</t>
    </r>
    <r>
      <rPr>
        <sz val="8"/>
        <color rgb="FF5A6472"/>
        <rFont val="Malgun Gothic"/>
        <family val="3"/>
        <charset val="129"/>
      </rPr>
      <t>(</t>
    </r>
    <r>
      <rPr>
        <sz val="8"/>
        <color rgb="FF5A6472"/>
        <rFont val="Noto Sans CJK SC"/>
        <family val="2"/>
      </rPr>
      <t>목표</t>
    </r>
    <r>
      <rPr>
        <sz val="8"/>
        <color rgb="FF5A6472"/>
        <rFont val="Malgun Gothic"/>
        <family val="3"/>
        <charset val="129"/>
      </rPr>
      <t xml:space="preserve">) </t>
    </r>
    <r>
      <rPr>
        <sz val="8"/>
        <color rgb="FF5A6472"/>
        <rFont val="Noto Sans CJK SC"/>
        <family val="2"/>
      </rPr>
      <t xml:space="preserve">대비 약 </t>
    </r>
    <r>
      <rPr>
        <sz val="8"/>
        <color rgb="FF5A6472"/>
        <rFont val="Malgun Gothic"/>
        <family val="3"/>
        <charset val="129"/>
      </rPr>
      <t>47</t>
    </r>
    <r>
      <rPr>
        <sz val="8"/>
        <color rgb="FF5A6472"/>
        <rFont val="Noto Sans CJK SC"/>
        <family val="2"/>
      </rPr>
      <t>억 미달이며</t>
    </r>
    <r>
      <rPr>
        <sz val="8"/>
        <color rgb="FF5A6472"/>
        <rFont val="Malgun Gothic"/>
        <family val="3"/>
        <charset val="129"/>
      </rPr>
      <t xml:space="preserve">, </t>
    </r>
    <r>
      <rPr>
        <sz val="8"/>
        <color rgb="FF5A6472"/>
        <rFont val="Noto Sans CJK SC"/>
        <family val="2"/>
      </rPr>
      <t xml:space="preserve">반복율을 약 </t>
    </r>
    <r>
      <rPr>
        <sz val="8"/>
        <color rgb="FF5A6472"/>
        <rFont val="Malgun Gothic"/>
        <family val="3"/>
        <charset val="129"/>
      </rPr>
      <t>34%</t>
    </r>
    <r>
      <rPr>
        <sz val="8"/>
        <color rgb="FF5A6472"/>
        <rFont val="Noto Sans CJK SC"/>
        <family val="2"/>
      </rPr>
      <t>로 올리면 도달</t>
    </r>
    <r>
      <rPr>
        <sz val="8"/>
        <color rgb="FF5A6472"/>
        <rFont val="Malgun Gothic"/>
        <family val="3"/>
        <charset val="129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</si>
</sst>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0"/>
    <numFmt numFmtId="178" formatCode="#,##0.0"/>
    <numFmt numFmtId="179" formatCode="\+#,##0.0;\-#,##0.0"/>
    <numFmt numFmtId="180" formatCode="#,##0&quot;억&quot;"/>
  </numFmts>
  <fonts count="42">
    <font>
      <sz val="11"/>
      <color theme="1"/>
      <name val="Calibri"/>
      <family val="2"/>
      <charset val="1"/>
    </font>
    <font>
      <b/>
      <sz val="16"/>
      <color rgb="FF1F3864"/>
      <name val="Noto Sans CJK SC"/>
      <family val="2"/>
    </font>
    <font>
      <b/>
      <sz val="16"/>
      <color rgb="FF1F3864"/>
      <name val="Malgun Gothic"/>
      <family val="3"/>
      <charset val="129"/>
    </font>
    <font>
      <sz val="9"/>
      <color rgb="FF5A6472"/>
      <name val="Noto Sans CJK SC"/>
      <family val="2"/>
    </font>
    <font>
      <sz val="9"/>
      <color rgb="FF5A6472"/>
      <name val="Malgun Gothic"/>
      <family val="3"/>
      <charset val="129"/>
    </font>
    <font>
      <b/>
      <sz val="10"/>
      <color rgb="FF2E4A7A"/>
      <name val="Noto Sans CJK SC"/>
      <family val="2"/>
    </font>
    <font>
      <b/>
      <sz val="10"/>
      <color rgb="FF2E4A7A"/>
      <name val="Malgun Gothic"/>
      <family val="3"/>
      <charset val="129"/>
    </font>
    <font>
      <sz val="9"/>
      <color rgb="FF000000"/>
      <name val="Noto Sans CJK SC"/>
      <family val="2"/>
    </font>
    <font>
      <sz val="9"/>
      <color rgb="FF000000"/>
      <name val="Malgun Gothic"/>
      <family val="3"/>
      <charset val="129"/>
    </font>
    <font>
      <b/>
      <sz val="10"/>
      <color rgb="FF0000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9"/>
      <color rgb="FF000000"/>
      <name val="Noto Sans CJK SC"/>
      <family val="2"/>
    </font>
    <font>
      <b/>
      <sz val="9"/>
      <color rgb="FF000000"/>
      <name val="Malgun Gothic"/>
      <family val="3"/>
      <charset val="129"/>
    </font>
    <font>
      <b/>
      <sz val="9"/>
      <color rgb="FF2E7D32"/>
      <name val="Noto Sans CJK SC"/>
      <family val="2"/>
    </font>
    <font>
      <b/>
      <sz val="9"/>
      <color rgb="FFB26B00"/>
      <name val="Noto Sans CJK SC"/>
      <family val="2"/>
    </font>
    <font>
      <b/>
      <sz val="9"/>
      <color rgb="FF5A647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Malgun Gothic"/>
      <family val="3"/>
      <charset val="129"/>
    </font>
    <font>
      <b/>
      <sz val="9"/>
      <color rgb="FF2E4A7A"/>
      <name val="Noto Sans CJK SC"/>
      <family val="2"/>
    </font>
    <font>
      <b/>
      <sz val="9"/>
      <color rgb="FF2E4A7A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FFFFFF"/>
      <name val="Noto Sans CJK SC"/>
      <family val="2"/>
    </font>
    <font>
      <b/>
      <sz val="9"/>
      <color rgb="FF5A6472"/>
      <name val="Malgun Gothic"/>
      <family val="3"/>
      <charset val="129"/>
    </font>
    <font>
      <b/>
      <sz val="9"/>
      <color rgb="FF0000FF"/>
      <name val="Malgun Gothic"/>
      <family val="3"/>
      <charset val="129"/>
    </font>
    <font>
      <b/>
      <sz val="9"/>
      <color rgb="FF4472C4"/>
      <name val="Malgun Gothic"/>
      <family val="3"/>
      <charset val="129"/>
    </font>
    <font>
      <b/>
      <sz val="9"/>
      <color rgb="FF4472C4"/>
      <name val="Noto Sans CJK SC"/>
      <family val="2"/>
    </font>
    <font>
      <sz val="9"/>
      <color rgb="FF4472C4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FFFFFF"/>
      <name val="Noto Sans CJK SC"/>
      <family val="2"/>
    </font>
    <font>
      <sz val="8"/>
      <color rgb="FF5A6472"/>
      <name val="Noto Sans CJK SC"/>
      <family val="2"/>
    </font>
    <font>
      <sz val="8"/>
      <color rgb="FF5A6472"/>
      <name val="Malgun Gothic"/>
      <family val="3"/>
      <charset val="129"/>
    </font>
    <font>
      <sz val="10"/>
      <name val="Noto Sans CJK SC"/>
      <family val="2"/>
    </font>
    <font>
      <sz val="10"/>
      <name val="Arial"/>
      <family val="2"/>
    </font>
    <font>
      <b/>
      <sz val="15"/>
      <color rgb="FF1F3864"/>
      <name val="Noto Sans CJK SC"/>
      <family val="2"/>
    </font>
    <font>
      <b/>
      <sz val="15"/>
      <color rgb="FF1F3864"/>
      <name val="Malgun Gothic"/>
      <family val="3"/>
      <charset val="129"/>
    </font>
    <font>
      <i/>
      <sz val="9"/>
      <color rgb="FF000000"/>
      <name val="Noto Sans CJK SC"/>
      <family val="2"/>
    </font>
    <font>
      <i/>
      <sz val="9"/>
      <color rgb="FF000000"/>
      <name val="Malgun Gothic"/>
      <family val="3"/>
      <charset val="129"/>
    </font>
    <font>
      <b/>
      <sz val="11"/>
      <color rgb="FF2E4A7A"/>
      <name val="Noto Sans CJK SC"/>
      <family val="2"/>
    </font>
    <font>
      <b/>
      <sz val="11"/>
      <color rgb="FF2E4A7A"/>
      <name val="Malgun Gothic"/>
      <family val="3"/>
      <charset val="129"/>
    </font>
    <font>
      <b/>
      <sz val="9"/>
      <color rgb="FF2E7D32"/>
      <name val="Malgun Gothic"/>
      <family val="3"/>
      <charset val="129"/>
    </font>
    <font>
      <b/>
      <sz val="9"/>
      <color rgb="FFB26B00"/>
      <name val="Malgun Gothic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4CC"/>
        <bgColor rgb="FFFCEFD9"/>
      </patternFill>
    </fill>
    <fill>
      <patternFill patternType="solid">
        <fgColor rgb="FFEEF2F8"/>
        <bgColor rgb="FFECEEF1"/>
      </patternFill>
    </fill>
    <fill>
      <patternFill patternType="solid">
        <fgColor rgb="FFE3F2E5"/>
        <bgColor rgb="FFECEEF1"/>
      </patternFill>
    </fill>
    <fill>
      <patternFill patternType="solid">
        <fgColor rgb="FFFCEFD9"/>
        <bgColor rgb="FFFFF4CC"/>
      </patternFill>
    </fill>
    <fill>
      <patternFill patternType="solid">
        <fgColor rgb="FFECEEF1"/>
        <bgColor rgb="FFEEF2F8"/>
      </patternFill>
    </fill>
    <fill>
      <patternFill patternType="solid">
        <fgColor rgb="FF1F3864"/>
        <bgColor rgb="FF2E4A7A"/>
      </patternFill>
    </fill>
    <fill>
      <patternFill patternType="solid">
        <fgColor rgb="FFD9E2F1"/>
        <bgColor rgb="FFECEEF1"/>
      </patternFill>
    </fill>
    <fill>
      <patternFill patternType="solid">
        <fgColor rgb="FF2E4A7A"/>
        <bgColor rgb="FF1F3864"/>
      </patternFill>
    </fill>
    <fill>
      <patternFill patternType="solid">
        <fgColor rgb="FFF4F7FB"/>
        <bgColor rgb="FFEEF2F8"/>
      </patternFill>
    </fill>
    <fill>
      <patternFill patternType="solid">
        <fgColor rgb="FFFFFFFF"/>
        <bgColor rgb="FFF4F7FB"/>
      </patternFill>
    </fill>
  </fills>
  <borders count="3">
    <border>
      <left/>
      <right/>
      <top/>
      <bottom/>
      <diagonal/>
    </border>
    <border>
      <left style="thin">
        <color rgb="FFC2CCDB"/>
      </left>
      <right style="thin">
        <color rgb="FFC2CCDB"/>
      </right>
      <top style="thin">
        <color rgb="FFC2CCDB"/>
      </top>
      <bottom style="thin">
        <color rgb="FFC2CCDB"/>
      </bottom>
      <diagonal/>
    </border>
    <border>
      <left style="thin">
        <color rgb="FFC2CCDB"/>
      </left>
      <right/>
      <top style="thin">
        <color rgb="FFC2CCDB"/>
      </top>
      <bottom style="thin">
        <color rgb="FFC2CCDB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8" fillId="3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176" fontId="9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178" fontId="8" fillId="0" borderId="1" xfId="0" applyNumberFormat="1" applyFont="1" applyBorder="1" applyAlignment="1">
      <alignment horizontal="right" vertical="center"/>
    </xf>
    <xf numFmtId="0" fontId="0" fillId="8" borderId="1" xfId="0" applyFill="1" applyBorder="1"/>
    <xf numFmtId="0" fontId="18" fillId="8" borderId="1" xfId="0" applyFont="1" applyFill="1" applyBorder="1" applyAlignment="1">
      <alignment horizontal="left" vertical="center" wrapText="1"/>
    </xf>
    <xf numFmtId="3" fontId="19" fillId="8" borderId="1" xfId="0" applyNumberFormat="1" applyFont="1" applyFill="1" applyBorder="1" applyAlignment="1">
      <alignment horizontal="right" vertical="center"/>
    </xf>
    <xf numFmtId="178" fontId="19" fillId="8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20" fillId="9" borderId="1" xfId="0" applyFont="1" applyFill="1" applyBorder="1"/>
    <xf numFmtId="0" fontId="21" fillId="9" borderId="1" xfId="0" applyFont="1" applyFill="1" applyBorder="1" applyAlignment="1">
      <alignment horizontal="left" vertical="center" wrapText="1"/>
    </xf>
    <xf numFmtId="178" fontId="20" fillId="9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15" fillId="3" borderId="1" xfId="0" applyFont="1" applyFill="1" applyBorder="1" applyAlignment="1">
      <alignment horizontal="left" vertical="center" wrapText="1"/>
    </xf>
    <xf numFmtId="178" fontId="4" fillId="3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0" fontId="11" fillId="10" borderId="1" xfId="0" applyFont="1" applyFill="1" applyBorder="1" applyAlignment="1">
      <alignment horizontal="left" vertical="center" wrapText="1"/>
    </xf>
    <xf numFmtId="9" fontId="23" fillId="2" borderId="1" xfId="0" applyNumberFormat="1" applyFont="1" applyFill="1" applyBorder="1" applyAlignment="1">
      <alignment horizontal="right" vertical="center"/>
    </xf>
    <xf numFmtId="178" fontId="8" fillId="10" borderId="1" xfId="0" applyNumberFormat="1" applyFont="1" applyFill="1" applyBorder="1" applyAlignment="1">
      <alignment horizontal="right" vertical="center"/>
    </xf>
    <xf numFmtId="0" fontId="24" fillId="10" borderId="1" xfId="0" applyFont="1" applyFill="1" applyBorder="1" applyAlignment="1">
      <alignment horizontal="left" vertical="center" wrapText="1"/>
    </xf>
    <xf numFmtId="178" fontId="26" fillId="10" borderId="1" xfId="0" applyNumberFormat="1" applyFont="1" applyFill="1" applyBorder="1" applyAlignment="1">
      <alignment horizontal="right" vertical="center"/>
    </xf>
    <xf numFmtId="0" fontId="19" fillId="8" borderId="1" xfId="0" applyFont="1" applyFill="1" applyBorder="1"/>
    <xf numFmtId="0" fontId="27" fillId="7" borderId="1" xfId="0" applyFont="1" applyFill="1" applyBorder="1"/>
    <xf numFmtId="0" fontId="28" fillId="7" borderId="1" xfId="0" applyFont="1" applyFill="1" applyBorder="1" applyAlignment="1">
      <alignment horizontal="left" vertical="center" wrapText="1"/>
    </xf>
    <xf numFmtId="178" fontId="27" fillId="7" borderId="1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178" fontId="12" fillId="11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178" fontId="8" fillId="11" borderId="1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left" vertical="center" wrapText="1"/>
    </xf>
    <xf numFmtId="178" fontId="20" fillId="7" borderId="1" xfId="0" applyNumberFormat="1" applyFont="1" applyFill="1" applyBorder="1" applyAlignment="1">
      <alignment horizontal="right" vertical="center"/>
    </xf>
    <xf numFmtId="0" fontId="35" fillId="11" borderId="1" xfId="0" applyFont="1" applyFill="1" applyBorder="1" applyAlignment="1">
      <alignment horizontal="left" vertical="center" wrapText="1"/>
    </xf>
    <xf numFmtId="0" fontId="36" fillId="11" borderId="1" xfId="0" applyFont="1" applyFill="1" applyBorder="1" applyAlignment="1">
      <alignment horizontal="right" vertical="center"/>
    </xf>
    <xf numFmtId="9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/>
    <xf numFmtId="178" fontId="0" fillId="10" borderId="1" xfId="0" applyNumberFormat="1" applyFill="1" applyBorder="1" applyAlignment="1">
      <alignment horizontal="right" vertical="center"/>
    </xf>
    <xf numFmtId="176" fontId="0" fillId="10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right" vertical="center"/>
    </xf>
    <xf numFmtId="179" fontId="0" fillId="10" borderId="1" xfId="0" applyNumberFormat="1" applyFill="1" applyBorder="1" applyAlignment="1">
      <alignment horizontal="right" vertical="center"/>
    </xf>
    <xf numFmtId="0" fontId="39" fillId="11" borderId="1" xfId="0" applyFont="1" applyFill="1" applyBorder="1" applyAlignment="1">
      <alignment horizontal="left" vertical="center" wrapText="1"/>
    </xf>
    <xf numFmtId="178" fontId="0" fillId="11" borderId="1" xfId="0" applyNumberForma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right" vertical="center"/>
    </xf>
    <xf numFmtId="179" fontId="0" fillId="11" borderId="1" xfId="0" applyNumberFormat="1" applyFill="1" applyBorder="1" applyAlignment="1">
      <alignment horizontal="right" vertical="center"/>
    </xf>
    <xf numFmtId="0" fontId="40" fillId="10" borderId="1" xfId="0" applyFont="1" applyFill="1" applyBorder="1" applyAlignment="1">
      <alignment horizontal="left" vertical="center" wrapText="1"/>
    </xf>
    <xf numFmtId="176" fontId="19" fillId="8" borderId="1" xfId="0" applyNumberFormat="1" applyFont="1" applyFill="1" applyBorder="1" applyAlignment="1">
      <alignment horizontal="right" vertical="center"/>
    </xf>
    <xf numFmtId="0" fontId="18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176" fontId="19" fillId="2" borderId="1" xfId="0" applyNumberFormat="1" applyFont="1" applyFill="1" applyBorder="1" applyAlignment="1">
      <alignment horizontal="center" vertical="center"/>
    </xf>
    <xf numFmtId="178" fontId="19" fillId="2" borderId="1" xfId="0" applyNumberFormat="1" applyFon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0" fontId="29" fillId="0" borderId="0" xfId="0" applyFont="1"/>
    <xf numFmtId="0" fontId="18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37" fillId="0" borderId="0" xfId="0" applyFont="1"/>
    <xf numFmtId="0" fontId="8" fillId="0" borderId="2" xfId="0" applyFont="1" applyBorder="1" applyAlignment="1">
      <alignment horizontal="left" vertical="center" wrapText="1"/>
    </xf>
    <xf numFmtId="180" fontId="19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" fillId="0" borderId="0" xfId="0" applyFont="1"/>
    <xf numFmtId="0" fontId="3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008080"/>
      <rgbColor rgb="FFC2CCDB"/>
      <rgbColor rgb="FF808080"/>
      <rgbColor rgb="FF9999FF"/>
      <rgbColor rgb="FF993366"/>
      <rgbColor rgb="FFFFF4CC"/>
      <rgbColor rgb="FFEEF2F8"/>
      <rgbColor rgb="FF660066"/>
      <rgbColor rgb="FFFF8080"/>
      <rgbColor rgb="FF0066CC"/>
      <rgbColor rgb="FFD9E2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EF1"/>
      <rgbColor rgb="FFE3F2E5"/>
      <rgbColor rgb="FFFCEFD9"/>
      <rgbColor rgb="FF99CCFF"/>
      <rgbColor rgb="FFFF99CC"/>
      <rgbColor rgb="FFCC99FF"/>
      <rgbColor rgb="FFF4F7FB"/>
      <rgbColor rgb="FF4472C4"/>
      <rgbColor rgb="FF33CCCC"/>
      <rgbColor rgb="FF99CC00"/>
      <rgbColor rgb="FFFFCC00"/>
      <rgbColor rgb="FFFF9900"/>
      <rgbColor rgb="FFFF6600"/>
      <rgbColor rgb="FF5A6472"/>
      <rgbColor rgb="FF969696"/>
      <rgbColor rgb="FF1F3864"/>
      <rgbColor rgb="FF2E7D32"/>
      <rgbColor rgb="FF003300"/>
      <rgbColor rgb="FF333300"/>
      <rgbColor rgb="FF993300"/>
      <rgbColor rgb="FF993366"/>
      <rgbColor rgb="FF2E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"/>
  <sheetViews>
    <sheetView tabSelected="1" zoomScaleNormal="10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F37" sqref="F37"/>
    </sheetView>
  </sheetViews>
  <sheetFormatPr defaultColWidth="8.7109375" defaultRowHeight="15"/>
  <cols>
    <col min="1" max="1" width="18" customWidth="1"/>
    <col min="2" max="2" width="24" customWidth="1"/>
    <col min="3" max="3" width="11" customWidth="1"/>
    <col min="4" max="4" width="7" customWidth="1"/>
    <col min="5" max="5" width="7.42578125" customWidth="1"/>
    <col min="6" max="6" width="9.5703125" customWidth="1"/>
    <col min="7" max="7" width="7.42578125" customWidth="1"/>
    <col min="8" max="8" width="9.5703125" customWidth="1"/>
    <col min="9" max="9" width="7.42578125" customWidth="1"/>
    <col min="10" max="10" width="9.5703125" customWidth="1"/>
    <col min="11" max="11" width="7.42578125" customWidth="1"/>
    <col min="12" max="12" width="9.5703125" customWidth="1"/>
    <col min="13" max="13" width="7.42578125" customWidth="1"/>
    <col min="14" max="14" width="9.5703125" customWidth="1"/>
    <col min="15" max="15" width="12" customWidth="1"/>
  </cols>
  <sheetData>
    <row r="1" spans="1:15" ht="27.75" customHeigh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4" spans="1:15">
      <c r="A4" s="3" t="s">
        <v>2</v>
      </c>
    </row>
    <row r="5" spans="1:15">
      <c r="A5" s="4" t="s">
        <v>3</v>
      </c>
    </row>
    <row r="6" spans="1:15">
      <c r="A6" s="5" t="s">
        <v>4</v>
      </c>
      <c r="E6" s="6">
        <v>0.48</v>
      </c>
      <c r="F6" s="7" t="s">
        <v>5</v>
      </c>
      <c r="G6" s="8">
        <f>1-E6</f>
        <v>0.52</v>
      </c>
    </row>
    <row r="7" spans="1:15">
      <c r="A7" s="9" t="s">
        <v>6</v>
      </c>
      <c r="C7" s="10" t="s">
        <v>7</v>
      </c>
      <c r="D7" s="11" t="s">
        <v>8</v>
      </c>
      <c r="E7" s="12" t="s">
        <v>9</v>
      </c>
    </row>
    <row r="9" spans="1:15" ht="15" customHeight="1">
      <c r="A9" s="74" t="s">
        <v>10</v>
      </c>
      <c r="B9" s="74" t="s">
        <v>11</v>
      </c>
      <c r="C9" s="74" t="s">
        <v>12</v>
      </c>
      <c r="D9" s="74" t="s">
        <v>13</v>
      </c>
      <c r="E9" s="75" t="s">
        <v>14</v>
      </c>
      <c r="F9" s="75"/>
      <c r="G9" s="75" t="s">
        <v>15</v>
      </c>
      <c r="H9" s="75"/>
      <c r="I9" s="75" t="s">
        <v>16</v>
      </c>
      <c r="J9" s="75"/>
      <c r="K9" s="75" t="s">
        <v>17</v>
      </c>
      <c r="L9" s="75"/>
      <c r="M9" s="75" t="s">
        <v>18</v>
      </c>
      <c r="N9" s="75"/>
      <c r="O9" s="74" t="s">
        <v>19</v>
      </c>
    </row>
    <row r="10" spans="1:15">
      <c r="A10" s="74"/>
      <c r="B10" s="74"/>
      <c r="C10" s="74"/>
      <c r="D10" s="74"/>
      <c r="E10" s="2" t="s">
        <v>20</v>
      </c>
      <c r="F10" s="2" t="s">
        <v>21</v>
      </c>
      <c r="G10" s="2" t="s">
        <v>20</v>
      </c>
      <c r="H10" s="2" t="s">
        <v>21</v>
      </c>
      <c r="I10" s="2" t="s">
        <v>20</v>
      </c>
      <c r="J10" s="2" t="s">
        <v>21</v>
      </c>
      <c r="K10" s="2" t="s">
        <v>20</v>
      </c>
      <c r="L10" s="2" t="s">
        <v>21</v>
      </c>
      <c r="M10" s="2" t="s">
        <v>20</v>
      </c>
      <c r="N10" s="2" t="s">
        <v>21</v>
      </c>
      <c r="O10" s="74"/>
    </row>
    <row r="11" spans="1:15" ht="15" customHeight="1">
      <c r="A11" s="71" t="s">
        <v>22</v>
      </c>
      <c r="B11" s="13" t="s">
        <v>23</v>
      </c>
      <c r="C11" s="11" t="s">
        <v>8</v>
      </c>
      <c r="D11" s="14">
        <v>0.05</v>
      </c>
      <c r="E11" s="15">
        <v>20</v>
      </c>
      <c r="F11" s="16">
        <f t="shared" ref="F11:F19" si="0">E11*$D11</f>
        <v>1</v>
      </c>
      <c r="G11" s="15">
        <v>20</v>
      </c>
      <c r="H11" s="16">
        <f t="shared" ref="H11:H19" si="1">G11*$D11</f>
        <v>1</v>
      </c>
      <c r="I11" s="15">
        <v>20</v>
      </c>
      <c r="J11" s="16">
        <f t="shared" ref="J11:J19" si="2">I11*$D11</f>
        <v>1</v>
      </c>
      <c r="K11" s="15">
        <v>20</v>
      </c>
      <c r="L11" s="16">
        <f t="shared" ref="L11:L19" si="3">K11*$D11</f>
        <v>1</v>
      </c>
      <c r="M11" s="15">
        <v>20</v>
      </c>
      <c r="N11" s="16">
        <f t="shared" ref="N11:N19" si="4">M11*$D11</f>
        <v>1</v>
      </c>
    </row>
    <row r="12" spans="1:15">
      <c r="A12" s="71"/>
      <c r="B12" s="13" t="s">
        <v>24</v>
      </c>
      <c r="C12" s="11" t="s">
        <v>8</v>
      </c>
      <c r="D12" s="14">
        <v>0.05</v>
      </c>
      <c r="E12" s="15">
        <v>20</v>
      </c>
      <c r="F12" s="16">
        <f t="shared" si="0"/>
        <v>1</v>
      </c>
      <c r="G12" s="15">
        <v>80</v>
      </c>
      <c r="H12" s="16">
        <f t="shared" si="1"/>
        <v>4</v>
      </c>
      <c r="I12" s="15">
        <v>80</v>
      </c>
      <c r="J12" s="16">
        <f t="shared" si="2"/>
        <v>4</v>
      </c>
      <c r="K12" s="15">
        <v>100</v>
      </c>
      <c r="L12" s="16">
        <f t="shared" si="3"/>
        <v>5</v>
      </c>
      <c r="M12" s="15">
        <v>120</v>
      </c>
      <c r="N12" s="16">
        <f t="shared" si="4"/>
        <v>6</v>
      </c>
    </row>
    <row r="13" spans="1:15">
      <c r="A13" s="71"/>
      <c r="B13" s="13" t="s">
        <v>25</v>
      </c>
      <c r="C13" s="11" t="s">
        <v>8</v>
      </c>
      <c r="D13" s="14">
        <v>0.05</v>
      </c>
      <c r="E13" s="15">
        <v>40</v>
      </c>
      <c r="F13" s="16">
        <f t="shared" si="0"/>
        <v>2</v>
      </c>
      <c r="G13" s="15">
        <v>100</v>
      </c>
      <c r="H13" s="16">
        <f t="shared" si="1"/>
        <v>5</v>
      </c>
      <c r="I13" s="15">
        <v>300</v>
      </c>
      <c r="J13" s="16">
        <f t="shared" si="2"/>
        <v>15</v>
      </c>
      <c r="K13" s="15">
        <v>300</v>
      </c>
      <c r="L13" s="16">
        <f t="shared" si="3"/>
        <v>15</v>
      </c>
      <c r="M13" s="15">
        <v>0</v>
      </c>
      <c r="N13" s="16">
        <f t="shared" si="4"/>
        <v>0</v>
      </c>
    </row>
    <row r="14" spans="1:15">
      <c r="A14" s="71"/>
      <c r="B14" s="13" t="s">
        <v>26</v>
      </c>
      <c r="C14" s="11" t="s">
        <v>8</v>
      </c>
      <c r="D14" s="14">
        <v>0.05</v>
      </c>
      <c r="E14" s="15">
        <v>60</v>
      </c>
      <c r="F14" s="16">
        <f t="shared" si="0"/>
        <v>3</v>
      </c>
      <c r="G14" s="15">
        <v>200</v>
      </c>
      <c r="H14" s="16">
        <f t="shared" si="1"/>
        <v>10</v>
      </c>
      <c r="I14" s="15">
        <v>100</v>
      </c>
      <c r="J14" s="16">
        <f t="shared" si="2"/>
        <v>5</v>
      </c>
      <c r="K14" s="15">
        <v>0</v>
      </c>
      <c r="L14" s="16">
        <f t="shared" si="3"/>
        <v>0</v>
      </c>
      <c r="M14" s="15">
        <v>0</v>
      </c>
      <c r="N14" s="16">
        <f t="shared" si="4"/>
        <v>0</v>
      </c>
    </row>
    <row r="15" spans="1:15">
      <c r="A15" s="71"/>
      <c r="B15" s="13" t="s">
        <v>27</v>
      </c>
      <c r="C15" s="11" t="s">
        <v>8</v>
      </c>
      <c r="D15" s="14">
        <v>0.05</v>
      </c>
      <c r="E15" s="15">
        <v>60</v>
      </c>
      <c r="F15" s="16">
        <f t="shared" si="0"/>
        <v>3</v>
      </c>
      <c r="G15" s="15">
        <v>300</v>
      </c>
      <c r="H15" s="16">
        <f t="shared" si="1"/>
        <v>15</v>
      </c>
      <c r="I15" s="15">
        <v>600</v>
      </c>
      <c r="J15" s="16">
        <f t="shared" si="2"/>
        <v>30</v>
      </c>
      <c r="K15" s="15">
        <v>800</v>
      </c>
      <c r="L15" s="16">
        <f t="shared" si="3"/>
        <v>40</v>
      </c>
      <c r="M15" s="15">
        <v>1000</v>
      </c>
      <c r="N15" s="16">
        <f t="shared" si="4"/>
        <v>50</v>
      </c>
    </row>
    <row r="16" spans="1:15">
      <c r="A16" s="71"/>
      <c r="B16" s="13" t="s">
        <v>28</v>
      </c>
      <c r="C16" s="11" t="s">
        <v>8</v>
      </c>
      <c r="D16" s="14">
        <v>0.05</v>
      </c>
      <c r="E16" s="15">
        <v>0</v>
      </c>
      <c r="F16" s="16">
        <f t="shared" si="0"/>
        <v>0</v>
      </c>
      <c r="G16" s="15">
        <v>60</v>
      </c>
      <c r="H16" s="16">
        <f t="shared" si="1"/>
        <v>3</v>
      </c>
      <c r="I16" s="15">
        <v>200</v>
      </c>
      <c r="J16" s="16">
        <f t="shared" si="2"/>
        <v>10</v>
      </c>
      <c r="K16" s="15">
        <v>600</v>
      </c>
      <c r="L16" s="16">
        <f t="shared" si="3"/>
        <v>30</v>
      </c>
      <c r="M16" s="15">
        <v>1000</v>
      </c>
      <c r="N16" s="16">
        <f t="shared" si="4"/>
        <v>50</v>
      </c>
    </row>
    <row r="17" spans="1:15">
      <c r="A17" s="71"/>
      <c r="B17" s="13" t="s">
        <v>29</v>
      </c>
      <c r="C17" s="10" t="s">
        <v>7</v>
      </c>
      <c r="D17" s="14">
        <v>0.05</v>
      </c>
      <c r="E17" s="15">
        <v>40</v>
      </c>
      <c r="F17" s="16">
        <f t="shared" si="0"/>
        <v>2</v>
      </c>
      <c r="G17" s="15">
        <v>40</v>
      </c>
      <c r="H17" s="16">
        <f t="shared" si="1"/>
        <v>2</v>
      </c>
      <c r="I17" s="15">
        <v>40</v>
      </c>
      <c r="J17" s="16">
        <f t="shared" si="2"/>
        <v>2</v>
      </c>
      <c r="K17" s="15">
        <v>40</v>
      </c>
      <c r="L17" s="16">
        <f t="shared" si="3"/>
        <v>2</v>
      </c>
      <c r="M17" s="15">
        <v>60</v>
      </c>
      <c r="N17" s="16">
        <f t="shared" si="4"/>
        <v>3</v>
      </c>
    </row>
    <row r="18" spans="1:15">
      <c r="A18" s="71"/>
      <c r="B18" s="13" t="s">
        <v>30</v>
      </c>
      <c r="C18" s="11" t="s">
        <v>8</v>
      </c>
      <c r="D18" s="14">
        <v>0.05</v>
      </c>
      <c r="E18" s="15">
        <v>100</v>
      </c>
      <c r="F18" s="16">
        <f t="shared" si="0"/>
        <v>5</v>
      </c>
      <c r="G18" s="15">
        <v>140</v>
      </c>
      <c r="H18" s="16">
        <f t="shared" si="1"/>
        <v>7</v>
      </c>
      <c r="I18" s="15">
        <v>240</v>
      </c>
      <c r="J18" s="16">
        <f t="shared" si="2"/>
        <v>12</v>
      </c>
      <c r="K18" s="15">
        <v>240</v>
      </c>
      <c r="L18" s="16">
        <f t="shared" si="3"/>
        <v>12</v>
      </c>
      <c r="M18" s="15">
        <v>300</v>
      </c>
      <c r="N18" s="16">
        <f t="shared" si="4"/>
        <v>15</v>
      </c>
    </row>
    <row r="19" spans="1:15">
      <c r="A19" s="71"/>
      <c r="B19" s="13" t="s">
        <v>31</v>
      </c>
      <c r="C19" s="12" t="s">
        <v>9</v>
      </c>
      <c r="D19" s="14">
        <v>0.05</v>
      </c>
      <c r="E19" s="15">
        <v>0</v>
      </c>
      <c r="F19" s="16">
        <f t="shared" si="0"/>
        <v>0</v>
      </c>
      <c r="G19" s="15">
        <v>0</v>
      </c>
      <c r="H19" s="16">
        <f t="shared" si="1"/>
        <v>0</v>
      </c>
      <c r="I19" s="15">
        <v>200</v>
      </c>
      <c r="J19" s="16">
        <f t="shared" si="2"/>
        <v>10</v>
      </c>
      <c r="K19" s="15">
        <v>400</v>
      </c>
      <c r="L19" s="16">
        <f t="shared" si="3"/>
        <v>20</v>
      </c>
      <c r="M19" s="15">
        <v>900</v>
      </c>
      <c r="N19" s="16">
        <f t="shared" si="4"/>
        <v>45</v>
      </c>
    </row>
    <row r="20" spans="1:15">
      <c r="A20" s="17"/>
      <c r="B20" s="18" t="s">
        <v>32</v>
      </c>
      <c r="C20" s="17"/>
      <c r="D20" s="17"/>
      <c r="E20" s="19">
        <f t="shared" ref="E20:N20" si="5">SUM(E11:E19)</f>
        <v>340</v>
      </c>
      <c r="F20" s="20">
        <f t="shared" si="5"/>
        <v>17</v>
      </c>
      <c r="G20" s="19">
        <f t="shared" si="5"/>
        <v>940</v>
      </c>
      <c r="H20" s="20">
        <f t="shared" si="5"/>
        <v>47</v>
      </c>
      <c r="I20" s="19">
        <f t="shared" si="5"/>
        <v>1780</v>
      </c>
      <c r="J20" s="20">
        <f t="shared" si="5"/>
        <v>89</v>
      </c>
      <c r="K20" s="19">
        <f t="shared" si="5"/>
        <v>2500</v>
      </c>
      <c r="L20" s="20">
        <f t="shared" si="5"/>
        <v>125</v>
      </c>
      <c r="M20" s="19">
        <f t="shared" si="5"/>
        <v>3400</v>
      </c>
      <c r="N20" s="20">
        <f t="shared" si="5"/>
        <v>170</v>
      </c>
      <c r="O20" s="17"/>
    </row>
    <row r="21" spans="1:15" ht="15" customHeight="1">
      <c r="A21" s="71" t="s">
        <v>33</v>
      </c>
      <c r="B21" s="13" t="s">
        <v>34</v>
      </c>
      <c r="C21" s="10" t="s">
        <v>7</v>
      </c>
      <c r="D21" s="14">
        <v>0.05</v>
      </c>
      <c r="E21" s="15">
        <v>200</v>
      </c>
      <c r="F21" s="16">
        <f>E21*$D21</f>
        <v>10</v>
      </c>
      <c r="G21" s="15">
        <v>400</v>
      </c>
      <c r="H21" s="16">
        <f>G21*$D21</f>
        <v>20</v>
      </c>
      <c r="I21" s="15">
        <v>400</v>
      </c>
      <c r="J21" s="16">
        <f>I21*$D21</f>
        <v>20</v>
      </c>
      <c r="K21" s="15">
        <v>0</v>
      </c>
      <c r="L21" s="16">
        <f>K21*$D21</f>
        <v>0</v>
      </c>
      <c r="M21" s="15">
        <v>0</v>
      </c>
      <c r="N21" s="16">
        <f>M21*$D21</f>
        <v>0</v>
      </c>
    </row>
    <row r="22" spans="1:15">
      <c r="A22" s="71"/>
      <c r="B22" s="13" t="s">
        <v>35</v>
      </c>
      <c r="C22" s="11" t="s">
        <v>8</v>
      </c>
      <c r="D22" s="14">
        <v>0.05</v>
      </c>
      <c r="E22" s="15">
        <v>0</v>
      </c>
      <c r="F22" s="16">
        <f>E22*$D22</f>
        <v>0</v>
      </c>
      <c r="G22" s="15">
        <v>200</v>
      </c>
      <c r="H22" s="16">
        <f>G22*$D22</f>
        <v>10</v>
      </c>
      <c r="I22" s="15">
        <v>1200</v>
      </c>
      <c r="J22" s="16">
        <f>I22*$D22</f>
        <v>60</v>
      </c>
      <c r="K22" s="15">
        <v>1400</v>
      </c>
      <c r="L22" s="16">
        <f>K22*$D22</f>
        <v>70</v>
      </c>
      <c r="M22" s="15">
        <v>2000</v>
      </c>
      <c r="N22" s="16">
        <f>M22*$D22</f>
        <v>100</v>
      </c>
    </row>
    <row r="23" spans="1:15">
      <c r="A23" s="17"/>
      <c r="B23" s="18" t="s">
        <v>36</v>
      </c>
      <c r="C23" s="17"/>
      <c r="D23" s="17"/>
      <c r="E23" s="19">
        <f t="shared" ref="E23:N23" si="6">SUM(E21:E22)</f>
        <v>200</v>
      </c>
      <c r="F23" s="20">
        <f t="shared" si="6"/>
        <v>10</v>
      </c>
      <c r="G23" s="19">
        <f t="shared" si="6"/>
        <v>600</v>
      </c>
      <c r="H23" s="20">
        <f t="shared" si="6"/>
        <v>30</v>
      </c>
      <c r="I23" s="19">
        <f t="shared" si="6"/>
        <v>1600</v>
      </c>
      <c r="J23" s="20">
        <f t="shared" si="6"/>
        <v>80</v>
      </c>
      <c r="K23" s="19">
        <f t="shared" si="6"/>
        <v>1400</v>
      </c>
      <c r="L23" s="20">
        <f t="shared" si="6"/>
        <v>70</v>
      </c>
      <c r="M23" s="19">
        <f t="shared" si="6"/>
        <v>2000</v>
      </c>
      <c r="N23" s="20">
        <f t="shared" si="6"/>
        <v>100</v>
      </c>
      <c r="O23" s="17"/>
    </row>
    <row r="24" spans="1:15" ht="15" customHeight="1">
      <c r="A24" s="71" t="s">
        <v>37</v>
      </c>
      <c r="B24" s="13" t="s">
        <v>38</v>
      </c>
      <c r="C24" s="10" t="s">
        <v>7</v>
      </c>
      <c r="D24" s="14">
        <v>0.1</v>
      </c>
      <c r="E24" s="15">
        <v>200</v>
      </c>
      <c r="F24" s="16">
        <f>E24*$D24</f>
        <v>20</v>
      </c>
      <c r="G24" s="15">
        <v>100</v>
      </c>
      <c r="H24" s="16">
        <f>G24*$D24</f>
        <v>10</v>
      </c>
      <c r="I24" s="15">
        <v>100</v>
      </c>
      <c r="J24" s="16">
        <f>I24*$D24</f>
        <v>10</v>
      </c>
      <c r="K24" s="15">
        <v>0</v>
      </c>
      <c r="L24" s="16">
        <f>K24*$D24</f>
        <v>0</v>
      </c>
      <c r="M24" s="15">
        <v>0</v>
      </c>
      <c r="N24" s="16">
        <f>M24*$D24</f>
        <v>0</v>
      </c>
    </row>
    <row r="25" spans="1:15">
      <c r="A25" s="71"/>
      <c r="B25" s="21" t="s">
        <v>39</v>
      </c>
      <c r="C25" s="12" t="s">
        <v>9</v>
      </c>
      <c r="D25" s="14">
        <v>0.1</v>
      </c>
      <c r="E25" s="15">
        <v>20</v>
      </c>
      <c r="F25" s="16">
        <f>E25*$D25</f>
        <v>2</v>
      </c>
      <c r="G25" s="15">
        <v>100</v>
      </c>
      <c r="H25" s="16">
        <f>G25*$D25</f>
        <v>10</v>
      </c>
      <c r="I25" s="15">
        <v>400</v>
      </c>
      <c r="J25" s="16">
        <f>I25*$D25</f>
        <v>40</v>
      </c>
      <c r="K25" s="15">
        <v>700</v>
      </c>
      <c r="L25" s="16">
        <f>K25*$D25</f>
        <v>70</v>
      </c>
      <c r="M25" s="15">
        <v>2000</v>
      </c>
      <c r="N25" s="16">
        <f>M25*$D25</f>
        <v>200</v>
      </c>
    </row>
    <row r="26" spans="1:15">
      <c r="A26" s="71"/>
      <c r="B26" s="13" t="s">
        <v>40</v>
      </c>
      <c r="C26" s="11" t="s">
        <v>8</v>
      </c>
      <c r="D26" s="14">
        <v>0.1</v>
      </c>
      <c r="E26" s="15">
        <v>0</v>
      </c>
      <c r="F26" s="16">
        <f>E26*$D26</f>
        <v>0</v>
      </c>
      <c r="G26" s="15">
        <v>0</v>
      </c>
      <c r="H26" s="16">
        <f>G26*$D26</f>
        <v>0</v>
      </c>
      <c r="I26" s="15">
        <v>200</v>
      </c>
      <c r="J26" s="16">
        <f>I26*$D26</f>
        <v>20</v>
      </c>
      <c r="K26" s="15">
        <v>500</v>
      </c>
      <c r="L26" s="16">
        <f>K26*$D26</f>
        <v>50</v>
      </c>
      <c r="M26" s="15">
        <v>1000</v>
      </c>
      <c r="N26" s="16">
        <f>M26*$D26</f>
        <v>100</v>
      </c>
    </row>
    <row r="27" spans="1:15">
      <c r="A27" s="71"/>
      <c r="B27" s="13" t="s">
        <v>41</v>
      </c>
      <c r="C27" s="12" t="s">
        <v>9</v>
      </c>
      <c r="D27" s="14">
        <v>0.12</v>
      </c>
      <c r="E27" s="15">
        <v>0</v>
      </c>
      <c r="F27" s="16">
        <f>E27*$D27</f>
        <v>0</v>
      </c>
      <c r="G27" s="15">
        <v>10</v>
      </c>
      <c r="H27" s="16">
        <f>G27*$D27</f>
        <v>1.2</v>
      </c>
      <c r="I27" s="15">
        <v>100</v>
      </c>
      <c r="J27" s="16">
        <f>I27*$D27</f>
        <v>12</v>
      </c>
      <c r="K27" s="15">
        <v>1000</v>
      </c>
      <c r="L27" s="16">
        <f>K27*$D27</f>
        <v>120</v>
      </c>
      <c r="M27" s="15">
        <v>2800</v>
      </c>
      <c r="N27" s="16">
        <f>M27*$D27</f>
        <v>336</v>
      </c>
    </row>
    <row r="28" spans="1:15">
      <c r="A28" s="17"/>
      <c r="B28" s="18" t="s">
        <v>42</v>
      </c>
      <c r="C28" s="17"/>
      <c r="D28" s="17"/>
      <c r="E28" s="19">
        <f t="shared" ref="E28:N28" si="7">SUM(E24:E27)</f>
        <v>220</v>
      </c>
      <c r="F28" s="20">
        <f t="shared" si="7"/>
        <v>22</v>
      </c>
      <c r="G28" s="19">
        <f t="shared" si="7"/>
        <v>210</v>
      </c>
      <c r="H28" s="20">
        <f t="shared" si="7"/>
        <v>21.2</v>
      </c>
      <c r="I28" s="19">
        <f t="shared" si="7"/>
        <v>800</v>
      </c>
      <c r="J28" s="20">
        <f t="shared" si="7"/>
        <v>82</v>
      </c>
      <c r="K28" s="19">
        <f t="shared" si="7"/>
        <v>2200</v>
      </c>
      <c r="L28" s="20">
        <f t="shared" si="7"/>
        <v>240</v>
      </c>
      <c r="M28" s="19">
        <f t="shared" si="7"/>
        <v>5800</v>
      </c>
      <c r="N28" s="20">
        <f t="shared" si="7"/>
        <v>636</v>
      </c>
      <c r="O28" s="17"/>
    </row>
    <row r="29" spans="1:15" ht="15" customHeight="1">
      <c r="A29" s="71" t="s">
        <v>43</v>
      </c>
      <c r="B29" s="13" t="s">
        <v>44</v>
      </c>
      <c r="C29" s="11" t="s">
        <v>8</v>
      </c>
      <c r="D29" s="14">
        <v>6.0000000000000001E-3</v>
      </c>
      <c r="E29" s="15">
        <v>800</v>
      </c>
      <c r="F29" s="16">
        <f>E29*$D29</f>
        <v>4.8</v>
      </c>
      <c r="G29" s="15">
        <v>3000</v>
      </c>
      <c r="H29" s="16">
        <f>G29*$D29</f>
        <v>18</v>
      </c>
      <c r="I29" s="15">
        <v>3000</v>
      </c>
      <c r="J29" s="16">
        <f>I29*$D29</f>
        <v>18</v>
      </c>
      <c r="K29" s="15">
        <v>3000</v>
      </c>
      <c r="L29" s="16">
        <f>K29*$D29</f>
        <v>18</v>
      </c>
      <c r="M29" s="15">
        <v>3000</v>
      </c>
      <c r="N29" s="16">
        <f>M29*$D29</f>
        <v>18</v>
      </c>
    </row>
    <row r="30" spans="1:15">
      <c r="A30" s="71"/>
      <c r="B30" s="13" t="s">
        <v>45</v>
      </c>
      <c r="C30" s="10" t="s">
        <v>7</v>
      </c>
      <c r="D30" s="14">
        <v>6.0000000000000001E-3</v>
      </c>
      <c r="E30" s="15">
        <v>0</v>
      </c>
      <c r="F30" s="16">
        <f>E30*$D30</f>
        <v>0</v>
      </c>
      <c r="G30" s="15">
        <v>2000</v>
      </c>
      <c r="H30" s="16">
        <f>G30*$D30</f>
        <v>12</v>
      </c>
      <c r="I30" s="15">
        <v>3000</v>
      </c>
      <c r="J30" s="16">
        <f>I30*$D30</f>
        <v>18</v>
      </c>
      <c r="K30" s="15">
        <v>3000</v>
      </c>
      <c r="L30" s="16">
        <f>K30*$D30</f>
        <v>18</v>
      </c>
      <c r="M30" s="15">
        <v>3000</v>
      </c>
      <c r="N30" s="16">
        <f>M30*$D30</f>
        <v>18</v>
      </c>
    </row>
    <row r="31" spans="1:15">
      <c r="A31" s="71"/>
      <c r="B31" s="13" t="s">
        <v>46</v>
      </c>
      <c r="C31" s="12" t="s">
        <v>9</v>
      </c>
      <c r="D31" s="14">
        <v>8.0000000000000002E-3</v>
      </c>
      <c r="E31" s="15">
        <v>0</v>
      </c>
      <c r="F31" s="16">
        <f>E31*$D31</f>
        <v>0</v>
      </c>
      <c r="G31" s="15">
        <v>2000</v>
      </c>
      <c r="H31" s="16">
        <f>G31*$D31</f>
        <v>16</v>
      </c>
      <c r="I31" s="15">
        <v>4000</v>
      </c>
      <c r="J31" s="16">
        <f>I31*$D31</f>
        <v>32</v>
      </c>
      <c r="K31" s="15">
        <v>5000</v>
      </c>
      <c r="L31" s="16">
        <f>K31*$D31</f>
        <v>40</v>
      </c>
      <c r="M31" s="15">
        <v>10000</v>
      </c>
      <c r="N31" s="16">
        <f>M31*$D31</f>
        <v>80</v>
      </c>
    </row>
    <row r="32" spans="1:15">
      <c r="A32" s="17"/>
      <c r="B32" s="18" t="s">
        <v>47</v>
      </c>
      <c r="C32" s="17"/>
      <c r="D32" s="17"/>
      <c r="E32" s="19">
        <f t="shared" ref="E32:N32" si="8">SUM(E29:E31)</f>
        <v>800</v>
      </c>
      <c r="F32" s="20">
        <f t="shared" si="8"/>
        <v>4.8</v>
      </c>
      <c r="G32" s="19">
        <f t="shared" si="8"/>
        <v>7000</v>
      </c>
      <c r="H32" s="20">
        <f t="shared" si="8"/>
        <v>46</v>
      </c>
      <c r="I32" s="19">
        <f t="shared" si="8"/>
        <v>10000</v>
      </c>
      <c r="J32" s="20">
        <f t="shared" si="8"/>
        <v>68</v>
      </c>
      <c r="K32" s="19">
        <f t="shared" si="8"/>
        <v>11000</v>
      </c>
      <c r="L32" s="20">
        <f t="shared" si="8"/>
        <v>76</v>
      </c>
      <c r="M32" s="19">
        <f t="shared" si="8"/>
        <v>16000</v>
      </c>
      <c r="N32" s="20">
        <f t="shared" si="8"/>
        <v>116</v>
      </c>
      <c r="O32" s="17"/>
    </row>
    <row r="33" spans="1:15" ht="24">
      <c r="A33" s="1" t="s">
        <v>48</v>
      </c>
      <c r="B33" s="13" t="s">
        <v>49</v>
      </c>
      <c r="C33" s="11" t="s">
        <v>8</v>
      </c>
      <c r="D33" s="14">
        <v>50</v>
      </c>
      <c r="E33" s="15">
        <v>2</v>
      </c>
      <c r="F33" s="16">
        <f>E33*$D33</f>
        <v>100</v>
      </c>
      <c r="G33" s="15">
        <v>5</v>
      </c>
      <c r="H33" s="16">
        <f>G33*$D33</f>
        <v>250</v>
      </c>
      <c r="I33" s="15">
        <v>6</v>
      </c>
      <c r="J33" s="16">
        <f>I33*$D33</f>
        <v>300</v>
      </c>
      <c r="K33" s="15">
        <v>9</v>
      </c>
      <c r="L33" s="16">
        <f>K33*$D33</f>
        <v>450</v>
      </c>
      <c r="M33" s="15">
        <v>10</v>
      </c>
      <c r="N33" s="16">
        <f>M33*$D33</f>
        <v>500</v>
      </c>
    </row>
    <row r="34" spans="1:15" ht="24">
      <c r="A34" s="17"/>
      <c r="B34" s="18" t="s">
        <v>50</v>
      </c>
      <c r="C34" s="17"/>
      <c r="D34" s="17"/>
      <c r="E34" s="19">
        <f t="shared" ref="E34:N34" si="9">SUM(E33:E33)</f>
        <v>2</v>
      </c>
      <c r="F34" s="20">
        <f t="shared" si="9"/>
        <v>100</v>
      </c>
      <c r="G34" s="19">
        <f t="shared" si="9"/>
        <v>5</v>
      </c>
      <c r="H34" s="20">
        <f t="shared" si="9"/>
        <v>250</v>
      </c>
      <c r="I34" s="19">
        <f t="shared" si="9"/>
        <v>6</v>
      </c>
      <c r="J34" s="20">
        <f t="shared" si="9"/>
        <v>300</v>
      </c>
      <c r="K34" s="19">
        <f t="shared" si="9"/>
        <v>9</v>
      </c>
      <c r="L34" s="20">
        <f t="shared" si="9"/>
        <v>450</v>
      </c>
      <c r="M34" s="19">
        <f t="shared" si="9"/>
        <v>10</v>
      </c>
      <c r="N34" s="20">
        <f t="shared" si="9"/>
        <v>500</v>
      </c>
      <c r="O34" s="17"/>
    </row>
    <row r="35" spans="1:15">
      <c r="A35" s="22"/>
      <c r="B35" s="23" t="s">
        <v>51</v>
      </c>
      <c r="C35" s="22"/>
      <c r="D35" s="22"/>
      <c r="E35" s="22"/>
      <c r="F35" s="24">
        <f>F20+F23+F28+F32+F34</f>
        <v>153.80000000000001</v>
      </c>
      <c r="G35" s="22"/>
      <c r="H35" s="24">
        <f>H20+H23+H28+H32+H34</f>
        <v>394.2</v>
      </c>
      <c r="I35" s="22"/>
      <c r="J35" s="24">
        <f>J20+J23+J28+J32+J34</f>
        <v>619</v>
      </c>
      <c r="K35" s="22"/>
      <c r="L35" s="24">
        <f>L20+L23+L28+L32+L34</f>
        <v>961</v>
      </c>
      <c r="M35" s="22"/>
      <c r="N35" s="24">
        <f>N20+N23+N28+N32+N34</f>
        <v>1522</v>
      </c>
      <c r="O35" s="22"/>
    </row>
    <row r="36" spans="1:15" ht="24">
      <c r="A36" s="25"/>
      <c r="B36" s="26" t="s">
        <v>52</v>
      </c>
      <c r="C36" s="25"/>
      <c r="D36" s="25"/>
      <c r="E36" s="25"/>
      <c r="F36" s="27">
        <f>F35-F28</f>
        <v>131.80000000000001</v>
      </c>
      <c r="G36" s="25"/>
      <c r="H36" s="27">
        <f>H35-H28</f>
        <v>373</v>
      </c>
      <c r="I36" s="25"/>
      <c r="J36" s="27">
        <f>J35-J28</f>
        <v>537</v>
      </c>
      <c r="K36" s="25"/>
      <c r="L36" s="27">
        <f>L35-L28</f>
        <v>721</v>
      </c>
      <c r="M36" s="25"/>
      <c r="N36" s="27">
        <f>N35-N28</f>
        <v>886</v>
      </c>
      <c r="O36" s="25"/>
    </row>
    <row r="37" spans="1:15">
      <c r="A37" s="28"/>
      <c r="B37" s="29" t="s">
        <v>53</v>
      </c>
      <c r="C37" s="28"/>
      <c r="D37" s="28"/>
      <c r="E37" s="28"/>
      <c r="F37" s="30">
        <v>0</v>
      </c>
      <c r="G37" s="28"/>
      <c r="H37" s="30">
        <v>0.1</v>
      </c>
      <c r="I37" s="28"/>
      <c r="J37" s="30">
        <v>0.25</v>
      </c>
      <c r="K37" s="28"/>
      <c r="L37" s="30">
        <v>0.35</v>
      </c>
      <c r="M37" s="28"/>
      <c r="N37" s="30">
        <v>0.45</v>
      </c>
      <c r="O37" s="28"/>
    </row>
    <row r="38" spans="1:15">
      <c r="A38" s="28"/>
      <c r="B38" s="29" t="s">
        <v>54</v>
      </c>
      <c r="C38" s="28"/>
      <c r="D38" s="28"/>
      <c r="E38" s="28"/>
      <c r="F38" s="31">
        <f>F36*F37*$G$6</f>
        <v>0</v>
      </c>
      <c r="G38" s="28"/>
      <c r="H38" s="31">
        <f>H36*H37*$G$6</f>
        <v>19.396000000000004</v>
      </c>
      <c r="I38" s="28"/>
      <c r="J38" s="31">
        <f>J36*J37*$G$6</f>
        <v>69.81</v>
      </c>
      <c r="K38" s="28"/>
      <c r="L38" s="31">
        <f>L36*L37*$G$6</f>
        <v>131.22200000000001</v>
      </c>
      <c r="M38" s="28"/>
      <c r="N38" s="31">
        <f>N36*N37*$G$6</f>
        <v>207.32400000000001</v>
      </c>
      <c r="O38" s="28"/>
    </row>
    <row r="39" spans="1:15">
      <c r="A39" s="28"/>
      <c r="B39" s="32" t="s">
        <v>55</v>
      </c>
      <c r="C39" s="28"/>
      <c r="D39" s="28"/>
      <c r="E39" s="28"/>
      <c r="F39" s="33">
        <f>F36*F37*$E$6</f>
        <v>0</v>
      </c>
      <c r="G39" s="28"/>
      <c r="H39" s="33">
        <f>H36*H37*$E$6</f>
        <v>17.904</v>
      </c>
      <c r="I39" s="28"/>
      <c r="J39" s="33">
        <f>J36*J37*$E$6</f>
        <v>64.44</v>
      </c>
      <c r="K39" s="28"/>
      <c r="L39" s="33">
        <f>L36*L37*$E$6</f>
        <v>121.12799999999999</v>
      </c>
      <c r="M39" s="28"/>
      <c r="N39" s="33">
        <f>N36*N37*$E$6</f>
        <v>191.37599999999998</v>
      </c>
      <c r="O39" s="28"/>
    </row>
    <row r="40" spans="1:15">
      <c r="A40" s="34"/>
      <c r="B40" s="18" t="s">
        <v>56</v>
      </c>
      <c r="C40" s="34"/>
      <c r="D40" s="34"/>
      <c r="E40" s="34"/>
      <c r="F40" s="20">
        <f>F38+F39</f>
        <v>0</v>
      </c>
      <c r="G40" s="34"/>
      <c r="H40" s="20">
        <f>H38+H39</f>
        <v>37.300000000000004</v>
      </c>
      <c r="I40" s="34"/>
      <c r="J40" s="20">
        <f>J38+J39</f>
        <v>134.25</v>
      </c>
      <c r="K40" s="34"/>
      <c r="L40" s="20">
        <f>L38+L39</f>
        <v>252.35</v>
      </c>
      <c r="M40" s="34"/>
      <c r="N40" s="20">
        <f>N38+N39</f>
        <v>398.7</v>
      </c>
      <c r="O40" s="34"/>
    </row>
    <row r="41" spans="1:15" ht="16.5">
      <c r="A41" s="35"/>
      <c r="B41" s="36" t="s">
        <v>57</v>
      </c>
      <c r="C41" s="35"/>
      <c r="D41" s="35"/>
      <c r="E41" s="35"/>
      <c r="F41" s="37">
        <f>F35+F40</f>
        <v>153.80000000000001</v>
      </c>
      <c r="G41" s="35"/>
      <c r="H41" s="37">
        <f>H35+H40</f>
        <v>431.5</v>
      </c>
      <c r="I41" s="35"/>
      <c r="J41" s="37">
        <f>J35+J40</f>
        <v>753.25</v>
      </c>
      <c r="K41" s="35"/>
      <c r="L41" s="37">
        <f>L35+L40</f>
        <v>1213.3499999999999</v>
      </c>
      <c r="M41" s="35"/>
      <c r="N41" s="37">
        <f>N35+N40</f>
        <v>1920.7</v>
      </c>
      <c r="O41" s="35"/>
    </row>
    <row r="43" spans="1:15">
      <c r="A43" s="70" t="s">
        <v>58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</row>
    <row r="44" spans="1:15">
      <c r="A44" s="70" t="s">
        <v>59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</sheetData>
  <mergeCells count="18">
    <mergeCell ref="A1:O1"/>
    <mergeCell ref="A2:O2"/>
    <mergeCell ref="A9:A10"/>
    <mergeCell ref="B9:B10"/>
    <mergeCell ref="C9:C10"/>
    <mergeCell ref="D9:D10"/>
    <mergeCell ref="E9:F9"/>
    <mergeCell ref="G9:H9"/>
    <mergeCell ref="I9:J9"/>
    <mergeCell ref="K9:L9"/>
    <mergeCell ref="M9:N9"/>
    <mergeCell ref="O9:O10"/>
    <mergeCell ref="A44:O44"/>
    <mergeCell ref="A11:A19"/>
    <mergeCell ref="A21:A22"/>
    <mergeCell ref="A24:A27"/>
    <mergeCell ref="A29:A31"/>
    <mergeCell ref="A43:O43"/>
  </mergeCells>
  <phoneticPr fontId="41" type="noConversion"/>
  <pageMargins left="0.4" right="0.4" top="0.5" bottom="0.5" header="0.511811023622047" footer="0.511811023622047"/>
  <pageSetup fitToHeight="0" orientation="landscape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9"/>
  <sheetViews>
    <sheetView zoomScaleNormal="100" workbookViewId="0"/>
  </sheetViews>
  <sheetFormatPr defaultColWidth="8.7109375" defaultRowHeight="15"/>
  <cols>
    <col min="1" max="1" width="22" customWidth="1"/>
    <col min="2" max="6" width="11" customWidth="1"/>
    <col min="7" max="7" width="12" customWidth="1"/>
    <col min="8" max="8" width="10" customWidth="1"/>
  </cols>
  <sheetData>
    <row r="1" spans="1:8" ht="25.5" customHeight="1">
      <c r="A1" s="83" t="s">
        <v>60</v>
      </c>
      <c r="B1" s="83"/>
      <c r="C1" s="83"/>
      <c r="D1" s="83"/>
      <c r="E1" s="83"/>
      <c r="F1" s="83"/>
      <c r="G1" s="83"/>
    </row>
    <row r="2" spans="1:8">
      <c r="A2" s="84" t="s">
        <v>61</v>
      </c>
      <c r="B2" s="84"/>
      <c r="C2" s="84"/>
      <c r="D2" s="84"/>
      <c r="E2" s="84"/>
      <c r="F2" s="84"/>
      <c r="G2" s="84"/>
    </row>
    <row r="4" spans="1:8">
      <c r="A4" s="38" t="s">
        <v>10</v>
      </c>
      <c r="B4" s="39" t="s">
        <v>62</v>
      </c>
      <c r="C4" s="39" t="s">
        <v>63</v>
      </c>
      <c r="D4" s="39" t="s">
        <v>64</v>
      </c>
      <c r="E4" s="39" t="s">
        <v>65</v>
      </c>
      <c r="F4" s="39" t="s">
        <v>66</v>
      </c>
      <c r="G4" s="39" t="s">
        <v>67</v>
      </c>
    </row>
    <row r="5" spans="1:8">
      <c r="A5" s="40" t="s">
        <v>68</v>
      </c>
      <c r="B5" s="41">
        <f>매출계획!F35</f>
        <v>153.80000000000001</v>
      </c>
      <c r="C5" s="41">
        <f>매출계획!H35</f>
        <v>394.2</v>
      </c>
      <c r="D5" s="41">
        <f>매출계획!J35</f>
        <v>619</v>
      </c>
      <c r="E5" s="41">
        <f>매출계획!L35</f>
        <v>961</v>
      </c>
      <c r="F5" s="41">
        <f>매출계획!N35</f>
        <v>1522</v>
      </c>
      <c r="G5" s="41">
        <f>B5+C5+D5+E5+F5</f>
        <v>3650</v>
      </c>
    </row>
    <row r="6" spans="1:8">
      <c r="A6" s="42" t="s">
        <v>69</v>
      </c>
      <c r="B6" s="31">
        <f>매출계획!F38</f>
        <v>0</v>
      </c>
      <c r="C6" s="31">
        <f>매출계획!H38</f>
        <v>19.396000000000004</v>
      </c>
      <c r="D6" s="31">
        <f>매출계획!J38</f>
        <v>69.81</v>
      </c>
      <c r="E6" s="31">
        <f>매출계획!L38</f>
        <v>131.22200000000001</v>
      </c>
      <c r="F6" s="31">
        <f>매출계획!N38</f>
        <v>207.32400000000001</v>
      </c>
      <c r="G6" s="31">
        <f>B6+C6+D6+E6+F6</f>
        <v>427.75200000000001</v>
      </c>
    </row>
    <row r="7" spans="1:8">
      <c r="A7" s="43" t="s">
        <v>70</v>
      </c>
      <c r="B7" s="44">
        <f>매출계획!F39</f>
        <v>0</v>
      </c>
      <c r="C7" s="44">
        <f>매출계획!H39</f>
        <v>17.904</v>
      </c>
      <c r="D7" s="44">
        <f>매출계획!J39</f>
        <v>64.44</v>
      </c>
      <c r="E7" s="44">
        <f>매출계획!L39</f>
        <v>121.12799999999999</v>
      </c>
      <c r="F7" s="44">
        <f>매출계획!N39</f>
        <v>191.37599999999998</v>
      </c>
      <c r="G7" s="44">
        <f>B7+C7+D7+E7+F7</f>
        <v>394.84799999999996</v>
      </c>
    </row>
    <row r="8" spans="1:8">
      <c r="A8" s="45" t="s">
        <v>71</v>
      </c>
      <c r="B8" s="46">
        <f>매출계획!F41</f>
        <v>153.80000000000001</v>
      </c>
      <c r="C8" s="46">
        <f>매출계획!H41</f>
        <v>431.5</v>
      </c>
      <c r="D8" s="46">
        <f>매출계획!J41</f>
        <v>753.25</v>
      </c>
      <c r="E8" s="46">
        <f>매출계획!L41</f>
        <v>1213.3499999999999</v>
      </c>
      <c r="F8" s="46">
        <f>매출계획!N41</f>
        <v>1920.7</v>
      </c>
      <c r="G8" s="46">
        <f>B8+C8+D8+E8+F8</f>
        <v>4472.5999999999995</v>
      </c>
    </row>
    <row r="9" spans="1:8">
      <c r="A9" s="47" t="s">
        <v>72</v>
      </c>
      <c r="B9" s="48" t="s">
        <v>73</v>
      </c>
      <c r="C9" s="49">
        <f>C8/B8-1</f>
        <v>1.8055916775032506</v>
      </c>
      <c r="D9" s="49">
        <f>D8/C8-1</f>
        <v>0.74565469293163389</v>
      </c>
      <c r="E9" s="49">
        <f>E8/D8-1</f>
        <v>0.61081978094921996</v>
      </c>
      <c r="F9" s="49">
        <f>F8/E8-1</f>
        <v>0.58297276136316833</v>
      </c>
      <c r="G9" s="50"/>
    </row>
    <row r="12" spans="1:8" ht="16.5">
      <c r="A12" s="79" t="s">
        <v>74</v>
      </c>
      <c r="B12" s="79"/>
      <c r="C12" s="79"/>
      <c r="D12" s="79"/>
      <c r="E12" s="85" t="s">
        <v>75</v>
      </c>
      <c r="F12" s="85"/>
      <c r="G12" s="85"/>
    </row>
    <row r="13" spans="1:8" ht="26.25">
      <c r="A13" s="38" t="s">
        <v>76</v>
      </c>
      <c r="B13" s="39" t="s">
        <v>77</v>
      </c>
      <c r="C13" s="38" t="s">
        <v>78</v>
      </c>
      <c r="E13" s="38" t="s">
        <v>79</v>
      </c>
      <c r="F13" s="38" t="s">
        <v>80</v>
      </c>
      <c r="G13" s="38" t="s">
        <v>81</v>
      </c>
      <c r="H13" s="38" t="s">
        <v>82</v>
      </c>
    </row>
    <row r="14" spans="1:8">
      <c r="A14" s="32" t="s">
        <v>83</v>
      </c>
      <c r="B14" s="51">
        <f>매출계획!J35</f>
        <v>619</v>
      </c>
      <c r="C14" s="52">
        <f>B14/$B$17</f>
        <v>0.82177231994689681</v>
      </c>
      <c r="E14" s="53" t="s">
        <v>62</v>
      </c>
      <c r="F14" s="51">
        <f>매출계획!F41</f>
        <v>153.80000000000001</v>
      </c>
      <c r="G14" s="54">
        <v>154</v>
      </c>
      <c r="H14" s="55">
        <f>F14-G14</f>
        <v>-0.19999999999998863</v>
      </c>
    </row>
    <row r="15" spans="1:8">
      <c r="A15" s="56" t="s">
        <v>84</v>
      </c>
      <c r="B15" s="57">
        <f>매출계획!J39</f>
        <v>64.44</v>
      </c>
      <c r="C15" s="58">
        <f>B15/$B$17</f>
        <v>8.5549286425489549E-2</v>
      </c>
      <c r="E15" s="59" t="s">
        <v>63</v>
      </c>
      <c r="F15" s="57">
        <f>매출계획!H41</f>
        <v>431.5</v>
      </c>
      <c r="G15" s="60">
        <v>440</v>
      </c>
      <c r="H15" s="61">
        <f>F15-G15</f>
        <v>-8.5</v>
      </c>
    </row>
    <row r="16" spans="1:8">
      <c r="A16" s="62" t="s">
        <v>85</v>
      </c>
      <c r="B16" s="51">
        <f>매출계획!J38</f>
        <v>69.81</v>
      </c>
      <c r="C16" s="52">
        <f>B16/$B$17</f>
        <v>9.2678393627613681E-2</v>
      </c>
      <c r="E16" s="53" t="s">
        <v>64</v>
      </c>
      <c r="F16" s="51">
        <f>매출계획!J41</f>
        <v>753.25</v>
      </c>
      <c r="G16" s="54">
        <v>800</v>
      </c>
      <c r="H16" s="55">
        <f>F16-G16</f>
        <v>-46.75</v>
      </c>
    </row>
    <row r="17" spans="1:8">
      <c r="A17" s="18" t="s">
        <v>86</v>
      </c>
      <c r="B17" s="20">
        <f>SUM(B14:B16)</f>
        <v>753.25</v>
      </c>
      <c r="C17" s="63">
        <f>SUM(C14:C16)</f>
        <v>1</v>
      </c>
      <c r="E17" s="59" t="s">
        <v>65</v>
      </c>
      <c r="F17" s="57">
        <f>매출계획!L41</f>
        <v>1213.3499999999999</v>
      </c>
      <c r="G17" s="60">
        <v>1220</v>
      </c>
      <c r="H17" s="61">
        <f>F17-G17</f>
        <v>-6.6500000000000909</v>
      </c>
    </row>
    <row r="18" spans="1:8">
      <c r="E18" s="53" t="s">
        <v>66</v>
      </c>
      <c r="F18" s="51">
        <f>매출계획!N41</f>
        <v>1920.7</v>
      </c>
      <c r="G18" s="54">
        <v>1920</v>
      </c>
      <c r="H18" s="55">
        <f>F18-G18</f>
        <v>0.70000000000004547</v>
      </c>
    </row>
    <row r="20" spans="1:8" ht="16.5">
      <c r="A20" s="79" t="s">
        <v>87</v>
      </c>
      <c r="B20" s="79"/>
      <c r="C20" s="79"/>
      <c r="D20" s="79"/>
      <c r="E20" s="79"/>
      <c r="F20" s="79"/>
      <c r="G20" s="79"/>
    </row>
    <row r="21" spans="1:8">
      <c r="A21" s="38" t="s">
        <v>12</v>
      </c>
      <c r="B21" s="39" t="s">
        <v>62</v>
      </c>
      <c r="C21" s="39" t="s">
        <v>63</v>
      </c>
      <c r="D21" s="39" t="s">
        <v>64</v>
      </c>
      <c r="E21" s="39" t="s">
        <v>65</v>
      </c>
      <c r="F21" s="39" t="s">
        <v>66</v>
      </c>
      <c r="G21" s="39" t="s">
        <v>67</v>
      </c>
    </row>
    <row r="22" spans="1:8">
      <c r="A22" s="10" t="s">
        <v>7</v>
      </c>
      <c r="B22" s="51">
        <f>SUMIF(매출계획!$C$11:$C$34,$A22,매출계획!F$11:F$34)</f>
        <v>32</v>
      </c>
      <c r="C22" s="51">
        <f>SUMIF(매출계획!$C$11:$C$34,$A22,매출계획!H$11:H$34)</f>
        <v>44</v>
      </c>
      <c r="D22" s="51">
        <f>SUMIF(매출계획!$C$11:$C$34,$A22,매출계획!J$11:J$34)</f>
        <v>50</v>
      </c>
      <c r="E22" s="51">
        <f>SUMIF(매출계획!$C$11:$C$34,$A22,매출계획!L$11:L$34)</f>
        <v>20</v>
      </c>
      <c r="F22" s="51">
        <f>SUMIF(매출계획!$C$11:$C$34,$A22,매출계획!N$11:N$34)</f>
        <v>21</v>
      </c>
      <c r="G22" s="51">
        <f>B22+C22+D22+E22+F22</f>
        <v>167</v>
      </c>
    </row>
    <row r="23" spans="1:8">
      <c r="A23" s="11" t="s">
        <v>8</v>
      </c>
      <c r="B23" s="57">
        <f>SUMIF(매출계획!$C$11:$C$34,$A23,매출계획!F$11:F$34)</f>
        <v>119.8</v>
      </c>
      <c r="C23" s="57">
        <f>SUMIF(매출계획!$C$11:$C$34,$A23,매출계획!H$11:H$34)</f>
        <v>323</v>
      </c>
      <c r="D23" s="57">
        <f>SUMIF(매출계획!$C$11:$C$34,$A23,매출계획!J$11:J$34)</f>
        <v>475</v>
      </c>
      <c r="E23" s="57">
        <f>SUMIF(매출계획!$C$11:$C$34,$A23,매출계획!L$11:L$34)</f>
        <v>691</v>
      </c>
      <c r="F23" s="57">
        <f>SUMIF(매출계획!$C$11:$C$34,$A23,매출계획!N$11:N$34)</f>
        <v>840</v>
      </c>
      <c r="G23" s="57">
        <f>B23+C23+D23+E23+F23</f>
        <v>2448.8000000000002</v>
      </c>
    </row>
    <row r="24" spans="1:8">
      <c r="A24" s="12" t="s">
        <v>9</v>
      </c>
      <c r="B24" s="51">
        <f>SUMIF(매출계획!$C$11:$C$34,$A24,매출계획!F$11:F$34)</f>
        <v>2</v>
      </c>
      <c r="C24" s="51">
        <f>SUMIF(매출계획!$C$11:$C$34,$A24,매출계획!H$11:H$34)</f>
        <v>27.2</v>
      </c>
      <c r="D24" s="51">
        <f>SUMIF(매출계획!$C$11:$C$34,$A24,매출계획!J$11:J$34)</f>
        <v>94</v>
      </c>
      <c r="E24" s="51">
        <f>SUMIF(매출계획!$C$11:$C$34,$A24,매출계획!L$11:L$34)</f>
        <v>250</v>
      </c>
      <c r="F24" s="51">
        <f>SUMIF(매출계획!$C$11:$C$34,$A24,매출계획!N$11:N$34)</f>
        <v>661</v>
      </c>
      <c r="G24" s="51">
        <f>B24+C24+D24+E24+F24</f>
        <v>1034.2</v>
      </c>
    </row>
    <row r="25" spans="1:8">
      <c r="A25" s="64" t="s">
        <v>88</v>
      </c>
      <c r="B25" s="20">
        <f t="shared" ref="B25:G25" si="0">SUM(B22:B24)</f>
        <v>153.80000000000001</v>
      </c>
      <c r="C25" s="20">
        <f t="shared" si="0"/>
        <v>394.2</v>
      </c>
      <c r="D25" s="20">
        <f t="shared" si="0"/>
        <v>619</v>
      </c>
      <c r="E25" s="20">
        <f t="shared" si="0"/>
        <v>961</v>
      </c>
      <c r="F25" s="20">
        <f t="shared" si="0"/>
        <v>1522</v>
      </c>
      <c r="G25" s="20">
        <f t="shared" si="0"/>
        <v>3650</v>
      </c>
    </row>
    <row r="28" spans="1:8" ht="16.5">
      <c r="A28" s="79" t="s">
        <v>89</v>
      </c>
      <c r="B28" s="79"/>
      <c r="C28" s="79"/>
      <c r="D28" s="79"/>
      <c r="E28" s="79"/>
      <c r="F28" s="79"/>
      <c r="G28" s="79"/>
    </row>
    <row r="29" spans="1:8" ht="15" customHeight="1">
      <c r="A29" s="65" t="s">
        <v>90</v>
      </c>
      <c r="B29" s="80" t="s">
        <v>91</v>
      </c>
      <c r="C29" s="80"/>
      <c r="D29" s="80"/>
      <c r="E29" s="80"/>
      <c r="F29" s="80"/>
      <c r="G29" s="80"/>
    </row>
    <row r="30" spans="1:8">
      <c r="A30" s="65" t="s">
        <v>92</v>
      </c>
      <c r="B30" s="81">
        <f>매출계획!F33+매출계획!H33+매출계획!J33+매출계획!L33+매출계획!N33</f>
        <v>1600</v>
      </c>
      <c r="C30" s="81"/>
      <c r="D30" s="81"/>
      <c r="E30" s="81"/>
      <c r="F30" s="81"/>
      <c r="G30" s="81"/>
    </row>
    <row r="31" spans="1:8" ht="15" customHeight="1">
      <c r="A31" s="65" t="s">
        <v>93</v>
      </c>
      <c r="B31" s="82" t="s">
        <v>94</v>
      </c>
      <c r="C31" s="82"/>
      <c r="D31" s="82"/>
      <c r="E31" s="82"/>
      <c r="F31" s="82"/>
      <c r="G31" s="82"/>
    </row>
    <row r="34" spans="1:7" ht="16.5">
      <c r="A34" s="79" t="s">
        <v>95</v>
      </c>
      <c r="B34" s="79"/>
      <c r="C34" s="79"/>
      <c r="D34" s="79"/>
    </row>
    <row r="35" spans="1:7" ht="26.25">
      <c r="A35" s="38" t="s">
        <v>96</v>
      </c>
      <c r="B35" s="39" t="s">
        <v>97</v>
      </c>
      <c r="C35" s="38" t="s">
        <v>98</v>
      </c>
    </row>
    <row r="36" spans="1:7" ht="15" customHeight="1">
      <c r="A36" s="66">
        <v>0.25</v>
      </c>
      <c r="B36" s="67">
        <f>매출계획!J35+매출계획!J36*0.25</f>
        <v>753.25</v>
      </c>
      <c r="C36" s="76" t="s">
        <v>99</v>
      </c>
      <c r="D36" s="76"/>
    </row>
    <row r="37" spans="1:7" ht="15" customHeight="1">
      <c r="A37" s="68">
        <v>0.3</v>
      </c>
      <c r="B37" s="57">
        <f>매출계획!J35+매출계획!J36*0.3</f>
        <v>780.1</v>
      </c>
      <c r="C37" s="77" t="s">
        <v>100</v>
      </c>
      <c r="D37" s="77"/>
    </row>
    <row r="38" spans="1:7" ht="15" customHeight="1">
      <c r="A38" s="69">
        <v>0.33700000000000002</v>
      </c>
      <c r="B38" s="51">
        <f>매출계획!J35+매출계획!J36*0.337</f>
        <v>799.96900000000005</v>
      </c>
      <c r="C38" s="78" t="s">
        <v>101</v>
      </c>
      <c r="D38" s="78"/>
    </row>
    <row r="39" spans="1:7">
      <c r="A39" s="70" t="s">
        <v>102</v>
      </c>
      <c r="B39" s="70"/>
      <c r="C39" s="70"/>
      <c r="D39" s="70"/>
      <c r="E39" s="70"/>
      <c r="F39" s="70"/>
      <c r="G39" s="70"/>
    </row>
  </sheetData>
  <mergeCells count="14">
    <mergeCell ref="A1:G1"/>
    <mergeCell ref="A2:G2"/>
    <mergeCell ref="A12:D12"/>
    <mergeCell ref="E12:G12"/>
    <mergeCell ref="A20:G20"/>
    <mergeCell ref="C36:D36"/>
    <mergeCell ref="C37:D37"/>
    <mergeCell ref="C38:D38"/>
    <mergeCell ref="A39:G39"/>
    <mergeCell ref="A28:G28"/>
    <mergeCell ref="B29:G29"/>
    <mergeCell ref="B30:G30"/>
    <mergeCell ref="B31:G31"/>
    <mergeCell ref="A34:D34"/>
  </mergeCells>
  <phoneticPr fontId="41" type="noConversion"/>
  <pageMargins left="0.75" right="0.75" top="1" bottom="1" header="0.511811023622047" footer="0.511811023622047"/>
  <pageSetup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매출계획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충훈 최</cp:lastModifiedBy>
  <cp:revision>0</cp:revision>
  <dcterms:created xsi:type="dcterms:W3CDTF">2026-06-22T06:36:54Z</dcterms:created>
  <dcterms:modified xsi:type="dcterms:W3CDTF">2026-07-09T07:27:11Z</dcterms:modified>
  <dc:language>en-US</dc:language>
</cp:coreProperties>
</file>